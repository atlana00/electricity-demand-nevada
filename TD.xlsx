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5075" windowHeight="7695"/>
  </bookViews>
  <sheets>
    <sheet name="2005td" sheetId="1" r:id="rId1"/>
    <sheet name="2006td" sheetId="2" r:id="rId2"/>
    <sheet name="2007td" sheetId="3" r:id="rId3"/>
    <sheet name="2008" sheetId="4" r:id="rId4"/>
    <sheet name="2009" sheetId="5" r:id="rId5"/>
    <sheet name="2010" sheetId="6" r:id="rId6"/>
    <sheet name="Sheet2" sheetId="10" r:id="rId7"/>
  </sheets>
  <calcPr calcId="125725"/>
</workbook>
</file>

<file path=xl/calcChain.xml><?xml version="1.0" encoding="utf-8"?>
<calcChain xmlns="http://schemas.openxmlformats.org/spreadsheetml/2006/main">
  <c r="X55" i="1"/>
  <c r="U61"/>
  <c r="O2" i="5"/>
  <c r="P2"/>
  <c r="Q2"/>
  <c r="R2"/>
  <c r="O3"/>
  <c r="P3"/>
  <c r="Q3"/>
  <c r="R3"/>
  <c r="O4"/>
  <c r="P4"/>
  <c r="Q4"/>
  <c r="R4"/>
  <c r="O5"/>
  <c r="P5"/>
  <c r="Q5"/>
  <c r="R5"/>
  <c r="O6"/>
  <c r="P6"/>
  <c r="Q6"/>
  <c r="R6"/>
  <c r="O7"/>
  <c r="P7"/>
  <c r="Q7"/>
  <c r="R7"/>
  <c r="O8"/>
  <c r="P8"/>
  <c r="Q8"/>
  <c r="R8"/>
  <c r="O9"/>
  <c r="P9"/>
  <c r="Q9"/>
  <c r="R9"/>
  <c r="O10"/>
  <c r="P10"/>
  <c r="Q10"/>
  <c r="R10"/>
  <c r="O11"/>
  <c r="P11"/>
  <c r="Q11"/>
  <c r="R11"/>
  <c r="O12"/>
  <c r="P12"/>
  <c r="Q12"/>
  <c r="R12"/>
  <c r="O13"/>
  <c r="P13"/>
  <c r="Q13"/>
  <c r="R13"/>
  <c r="O14"/>
  <c r="P14"/>
  <c r="Q14"/>
  <c r="R14"/>
  <c r="O15"/>
  <c r="P15"/>
  <c r="Q15"/>
  <c r="R15"/>
  <c r="O16"/>
  <c r="P16"/>
  <c r="Q16"/>
  <c r="R16"/>
  <c r="O17"/>
  <c r="P17"/>
  <c r="Q17"/>
  <c r="R17"/>
  <c r="O18"/>
  <c r="P18"/>
  <c r="Q18"/>
  <c r="R18"/>
  <c r="O19"/>
  <c r="P19"/>
  <c r="Q19"/>
  <c r="R19"/>
  <c r="O20"/>
  <c r="P20"/>
  <c r="Q20"/>
  <c r="R20"/>
  <c r="O21"/>
  <c r="P21"/>
  <c r="Q21"/>
  <c r="R21"/>
  <c r="O22"/>
  <c r="P22"/>
  <c r="Q22"/>
  <c r="R22"/>
  <c r="O23"/>
  <c r="P23"/>
  <c r="Q23"/>
  <c r="R23"/>
  <c r="O24"/>
  <c r="P24"/>
  <c r="Q24"/>
  <c r="R24"/>
  <c r="O25"/>
  <c r="P25"/>
  <c r="Q25"/>
  <c r="R25"/>
  <c r="O26"/>
  <c r="P26"/>
  <c r="Q26"/>
  <c r="R26"/>
  <c r="O27"/>
  <c r="P27"/>
  <c r="Q27"/>
  <c r="R27"/>
  <c r="O28"/>
  <c r="P28"/>
  <c r="Q28"/>
  <c r="R28"/>
  <c r="O29"/>
  <c r="P29"/>
  <c r="Q29"/>
  <c r="R29"/>
  <c r="O30"/>
  <c r="P30"/>
  <c r="Q30"/>
  <c r="R30"/>
  <c r="O31"/>
  <c r="P31"/>
  <c r="Q31"/>
  <c r="R31"/>
  <c r="O32"/>
  <c r="P32"/>
  <c r="Q32"/>
  <c r="R32"/>
  <c r="O33"/>
  <c r="P33"/>
  <c r="Q33"/>
  <c r="R33"/>
  <c r="O34"/>
  <c r="P34"/>
  <c r="Q34"/>
  <c r="R34"/>
  <c r="O35"/>
  <c r="P35"/>
  <c r="Q35"/>
  <c r="R35"/>
  <c r="O36"/>
  <c r="P36"/>
  <c r="Q36"/>
  <c r="R36"/>
  <c r="O37"/>
  <c r="P37"/>
  <c r="Q37"/>
  <c r="R37"/>
  <c r="O38"/>
  <c r="P38"/>
  <c r="Q38"/>
  <c r="R38"/>
  <c r="O39"/>
  <c r="P39"/>
  <c r="Q39"/>
  <c r="R39"/>
  <c r="O40"/>
  <c r="P40"/>
  <c r="Q40"/>
  <c r="R40"/>
  <c r="O41"/>
  <c r="P41"/>
  <c r="Q41"/>
  <c r="R41"/>
  <c r="O42"/>
  <c r="P42"/>
  <c r="Q42"/>
  <c r="R42"/>
  <c r="O43"/>
  <c r="P43"/>
  <c r="Q43"/>
  <c r="R43"/>
  <c r="O44"/>
  <c r="P44"/>
  <c r="Q44"/>
  <c r="R44"/>
  <c r="O45"/>
  <c r="P45"/>
  <c r="Q45"/>
  <c r="R45"/>
  <c r="O46"/>
  <c r="P46"/>
  <c r="Q46"/>
  <c r="R46"/>
  <c r="O47"/>
  <c r="P47"/>
  <c r="Q47"/>
  <c r="R47"/>
  <c r="O48"/>
  <c r="P48"/>
  <c r="Q48"/>
  <c r="R48"/>
  <c r="O49"/>
  <c r="P49"/>
  <c r="Q49"/>
  <c r="R49"/>
  <c r="O50"/>
  <c r="P50"/>
  <c r="Q50"/>
  <c r="R50"/>
  <c r="O51"/>
  <c r="P51"/>
  <c r="Q51"/>
  <c r="R51"/>
  <c r="O52"/>
  <c r="P52"/>
  <c r="Q52"/>
  <c r="R52"/>
  <c r="O53"/>
  <c r="P53"/>
  <c r="Q53"/>
  <c r="R53"/>
  <c r="O54"/>
  <c r="P54"/>
  <c r="Q54"/>
  <c r="R54"/>
  <c r="O55"/>
  <c r="P55"/>
  <c r="Q55"/>
  <c r="R55"/>
  <c r="O56"/>
  <c r="P56"/>
  <c r="Q56"/>
  <c r="R56"/>
  <c r="O57"/>
  <c r="P57"/>
  <c r="Q57"/>
  <c r="R57"/>
  <c r="O58"/>
  <c r="P58"/>
  <c r="Q58"/>
  <c r="R58"/>
  <c r="O59"/>
  <c r="P59"/>
  <c r="Q59"/>
  <c r="R59"/>
  <c r="O60"/>
  <c r="P60"/>
  <c r="Q60"/>
  <c r="R60"/>
  <c r="O61"/>
  <c r="P61"/>
  <c r="Q61"/>
  <c r="R61"/>
  <c r="O62"/>
  <c r="P62"/>
  <c r="Q62"/>
  <c r="R62"/>
  <c r="O63"/>
  <c r="P63"/>
  <c r="Q63"/>
  <c r="R63"/>
  <c r="O64"/>
  <c r="P64"/>
  <c r="Q64"/>
  <c r="R64"/>
  <c r="O65"/>
  <c r="P65"/>
  <c r="Q65"/>
  <c r="R65"/>
  <c r="O66"/>
  <c r="P66"/>
  <c r="Q66"/>
  <c r="R66"/>
  <c r="O67"/>
  <c r="P67"/>
  <c r="Q67"/>
  <c r="R67"/>
  <c r="O68"/>
  <c r="P68"/>
  <c r="Q68"/>
  <c r="R68"/>
  <c r="O69"/>
  <c r="P69"/>
  <c r="Q69"/>
  <c r="R69"/>
  <c r="O70"/>
  <c r="P70"/>
  <c r="Q70"/>
  <c r="R70"/>
  <c r="O71"/>
  <c r="P71"/>
  <c r="Q71"/>
  <c r="R71"/>
  <c r="O72"/>
  <c r="P72"/>
  <c r="Q72"/>
  <c r="R72"/>
  <c r="O73"/>
  <c r="P73"/>
  <c r="Q73"/>
  <c r="R73"/>
  <c r="O74"/>
  <c r="P74"/>
  <c r="Q74"/>
  <c r="R74"/>
  <c r="O75"/>
  <c r="P75"/>
  <c r="Q75"/>
  <c r="R75"/>
  <c r="O76"/>
  <c r="P76"/>
  <c r="Q76"/>
  <c r="R76"/>
  <c r="O77"/>
  <c r="P77"/>
  <c r="Q77"/>
  <c r="R77"/>
  <c r="O78"/>
  <c r="P78"/>
  <c r="Q78"/>
  <c r="R78"/>
  <c r="O79"/>
  <c r="P79"/>
  <c r="Q79"/>
  <c r="R79"/>
  <c r="O80"/>
  <c r="P80"/>
  <c r="Q80"/>
  <c r="R80"/>
  <c r="O81"/>
  <c r="P81"/>
  <c r="Q81"/>
  <c r="R81"/>
  <c r="O82"/>
  <c r="P82"/>
  <c r="Q82"/>
  <c r="R82"/>
  <c r="O83"/>
  <c r="P83"/>
  <c r="Q83"/>
  <c r="R83"/>
  <c r="O84"/>
  <c r="P84"/>
  <c r="Q84"/>
  <c r="R84"/>
  <c r="O85"/>
  <c r="P85"/>
  <c r="Q85"/>
  <c r="R85"/>
  <c r="R3" i="6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2"/>
  <c r="Q3" i="4"/>
  <c r="R3" s="1"/>
  <c r="Q4"/>
  <c r="R4" s="1"/>
  <c r="Q5"/>
  <c r="R5" s="1"/>
  <c r="Q6"/>
  <c r="R6" s="1"/>
  <c r="Q7"/>
  <c r="R7" s="1"/>
  <c r="Q8"/>
  <c r="R8" s="1"/>
  <c r="Q9"/>
  <c r="R9" s="1"/>
  <c r="Q10"/>
  <c r="R10" s="1"/>
  <c r="Q11"/>
  <c r="R11" s="1"/>
  <c r="Q12"/>
  <c r="R12" s="1"/>
  <c r="Q13"/>
  <c r="R13" s="1"/>
  <c r="Q14"/>
  <c r="R14" s="1"/>
  <c r="Q15"/>
  <c r="R15" s="1"/>
  <c r="Q16"/>
  <c r="R16" s="1"/>
  <c r="Q17"/>
  <c r="R17" s="1"/>
  <c r="Q18"/>
  <c r="R18" s="1"/>
  <c r="Q19"/>
  <c r="R19" s="1"/>
  <c r="Q20"/>
  <c r="R20" s="1"/>
  <c r="Q21"/>
  <c r="R21" s="1"/>
  <c r="Q22"/>
  <c r="R22" s="1"/>
  <c r="Q23"/>
  <c r="R23" s="1"/>
  <c r="Q24"/>
  <c r="R24" s="1"/>
  <c r="Q25"/>
  <c r="R25" s="1"/>
  <c r="Q26"/>
  <c r="R26" s="1"/>
  <c r="Q27"/>
  <c r="R27" s="1"/>
  <c r="Q28"/>
  <c r="R28" s="1"/>
  <c r="Q29"/>
  <c r="R29" s="1"/>
  <c r="Q30"/>
  <c r="R30" s="1"/>
  <c r="Q31"/>
  <c r="R31" s="1"/>
  <c r="Q32"/>
  <c r="R32" s="1"/>
  <c r="Q33"/>
  <c r="R33" s="1"/>
  <c r="Q34"/>
  <c r="R34" s="1"/>
  <c r="Q35"/>
  <c r="R35" s="1"/>
  <c r="Q36"/>
  <c r="R36" s="1"/>
  <c r="Q37"/>
  <c r="R37" s="1"/>
  <c r="Q38"/>
  <c r="R38" s="1"/>
  <c r="Q39"/>
  <c r="R39" s="1"/>
  <c r="Q40"/>
  <c r="R40" s="1"/>
  <c r="Q41"/>
  <c r="R41" s="1"/>
  <c r="Q42"/>
  <c r="R42" s="1"/>
  <c r="Q43"/>
  <c r="R43" s="1"/>
  <c r="Q44"/>
  <c r="R44" s="1"/>
  <c r="Q45"/>
  <c r="R45" s="1"/>
  <c r="Q46"/>
  <c r="R46" s="1"/>
  <c r="Q47"/>
  <c r="R47" s="1"/>
  <c r="Q48"/>
  <c r="R48" s="1"/>
  <c r="Q49"/>
  <c r="R49" s="1"/>
  <c r="Q50"/>
  <c r="R50" s="1"/>
  <c r="Q51"/>
  <c r="R51" s="1"/>
  <c r="Q52"/>
  <c r="R52" s="1"/>
  <c r="Q53"/>
  <c r="R53" s="1"/>
  <c r="Q54"/>
  <c r="R54" s="1"/>
  <c r="Q55"/>
  <c r="R55" s="1"/>
  <c r="Q56"/>
  <c r="R56" s="1"/>
  <c r="Q57"/>
  <c r="R57" s="1"/>
  <c r="Q58"/>
  <c r="R58" s="1"/>
  <c r="Q59"/>
  <c r="R59" s="1"/>
  <c r="Q60"/>
  <c r="R60" s="1"/>
  <c r="Q61"/>
  <c r="R61" s="1"/>
  <c r="Q62"/>
  <c r="R62" s="1"/>
  <c r="Q63"/>
  <c r="R63" s="1"/>
  <c r="Q64"/>
  <c r="R64" s="1"/>
  <c r="Q65"/>
  <c r="R65" s="1"/>
  <c r="Q66"/>
  <c r="R66" s="1"/>
  <c r="Q67"/>
  <c r="R67" s="1"/>
  <c r="Q68"/>
  <c r="R68" s="1"/>
  <c r="Q69"/>
  <c r="R69" s="1"/>
  <c r="Q70"/>
  <c r="R70" s="1"/>
  <c r="Q71"/>
  <c r="R71" s="1"/>
  <c r="Q72"/>
  <c r="R72" s="1"/>
  <c r="Q73"/>
  <c r="R73" s="1"/>
  <c r="Q74"/>
  <c r="R74" s="1"/>
  <c r="Q75"/>
  <c r="R75" s="1"/>
  <c r="Q76"/>
  <c r="R76" s="1"/>
  <c r="Q77"/>
  <c r="R77" s="1"/>
  <c r="Q78"/>
  <c r="R78" s="1"/>
  <c r="Q79"/>
  <c r="R79" s="1"/>
  <c r="Q80"/>
  <c r="R80" s="1"/>
  <c r="Q81"/>
  <c r="R81" s="1"/>
  <c r="Q82"/>
  <c r="R82" s="1"/>
  <c r="Q83"/>
  <c r="R83" s="1"/>
  <c r="Q84"/>
  <c r="R84" s="1"/>
  <c r="Q85"/>
  <c r="R85" s="1"/>
  <c r="Q2"/>
  <c r="R2" s="1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2"/>
  <c r="Q3" i="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2"/>
  <c r="O3"/>
  <c r="R3" s="1"/>
  <c r="O4"/>
  <c r="R4" s="1"/>
  <c r="O5"/>
  <c r="R5" s="1"/>
  <c r="O6"/>
  <c r="R6" s="1"/>
  <c r="O7"/>
  <c r="R7" s="1"/>
  <c r="O8"/>
  <c r="R8" s="1"/>
  <c r="O9"/>
  <c r="R9" s="1"/>
  <c r="O10"/>
  <c r="R10" s="1"/>
  <c r="O11"/>
  <c r="R11" s="1"/>
  <c r="O12"/>
  <c r="R12" s="1"/>
  <c r="O13"/>
  <c r="R13" s="1"/>
  <c r="O14"/>
  <c r="R14" s="1"/>
  <c r="O15"/>
  <c r="R15" s="1"/>
  <c r="O16"/>
  <c r="R16" s="1"/>
  <c r="O17"/>
  <c r="R17" s="1"/>
  <c r="O18"/>
  <c r="R18" s="1"/>
  <c r="O19"/>
  <c r="R19" s="1"/>
  <c r="O20"/>
  <c r="R20" s="1"/>
  <c r="O21"/>
  <c r="R21" s="1"/>
  <c r="O22"/>
  <c r="R22" s="1"/>
  <c r="O23"/>
  <c r="R23" s="1"/>
  <c r="O24"/>
  <c r="R24" s="1"/>
  <c r="O25"/>
  <c r="R25" s="1"/>
  <c r="O26"/>
  <c r="R26" s="1"/>
  <c r="O27"/>
  <c r="R27" s="1"/>
  <c r="O28"/>
  <c r="R28" s="1"/>
  <c r="O29"/>
  <c r="R29" s="1"/>
  <c r="O30"/>
  <c r="R30" s="1"/>
  <c r="O31"/>
  <c r="R31" s="1"/>
  <c r="O32"/>
  <c r="R32" s="1"/>
  <c r="O33"/>
  <c r="R33" s="1"/>
  <c r="O34"/>
  <c r="R34" s="1"/>
  <c r="O35"/>
  <c r="R35" s="1"/>
  <c r="O36"/>
  <c r="R36" s="1"/>
  <c r="O37"/>
  <c r="R37" s="1"/>
  <c r="O38"/>
  <c r="R38" s="1"/>
  <c r="O39"/>
  <c r="R39" s="1"/>
  <c r="O40"/>
  <c r="R40" s="1"/>
  <c r="O41"/>
  <c r="R41" s="1"/>
  <c r="O42"/>
  <c r="R42" s="1"/>
  <c r="O43"/>
  <c r="R43" s="1"/>
  <c r="O44"/>
  <c r="R44" s="1"/>
  <c r="O45"/>
  <c r="R45" s="1"/>
  <c r="O46"/>
  <c r="R46" s="1"/>
  <c r="O47"/>
  <c r="R47" s="1"/>
  <c r="O48"/>
  <c r="R48" s="1"/>
  <c r="O49"/>
  <c r="R49" s="1"/>
  <c r="O50"/>
  <c r="R50" s="1"/>
  <c r="O51"/>
  <c r="R51" s="1"/>
  <c r="O52"/>
  <c r="R52" s="1"/>
  <c r="O53"/>
  <c r="R53" s="1"/>
  <c r="O54"/>
  <c r="R54" s="1"/>
  <c r="O55"/>
  <c r="R55" s="1"/>
  <c r="O56"/>
  <c r="R56" s="1"/>
  <c r="O57"/>
  <c r="R57" s="1"/>
  <c r="O58"/>
  <c r="R58" s="1"/>
  <c r="O59"/>
  <c r="R59" s="1"/>
  <c r="O60"/>
  <c r="R60" s="1"/>
  <c r="O61"/>
  <c r="R61" s="1"/>
  <c r="O62"/>
  <c r="R62" s="1"/>
  <c r="O63"/>
  <c r="R63" s="1"/>
  <c r="O64"/>
  <c r="R64" s="1"/>
  <c r="O65"/>
  <c r="R65" s="1"/>
  <c r="O66"/>
  <c r="R66" s="1"/>
  <c r="O67"/>
  <c r="R67" s="1"/>
  <c r="O68"/>
  <c r="R68" s="1"/>
  <c r="O69"/>
  <c r="R69" s="1"/>
  <c r="O70"/>
  <c r="R70" s="1"/>
  <c r="O71"/>
  <c r="R71" s="1"/>
  <c r="O72"/>
  <c r="R72" s="1"/>
  <c r="O73"/>
  <c r="R73" s="1"/>
  <c r="O74"/>
  <c r="R74" s="1"/>
  <c r="O75"/>
  <c r="R75" s="1"/>
  <c r="O76"/>
  <c r="R76" s="1"/>
  <c r="O77"/>
  <c r="R77" s="1"/>
  <c r="O78"/>
  <c r="R78" s="1"/>
  <c r="O79"/>
  <c r="R79" s="1"/>
  <c r="O80"/>
  <c r="R80" s="1"/>
  <c r="O81"/>
  <c r="R81" s="1"/>
  <c r="O82"/>
  <c r="R82" s="1"/>
  <c r="O83"/>
  <c r="R83" s="1"/>
  <c r="O84"/>
  <c r="R84" s="1"/>
  <c r="O85"/>
  <c r="R85" s="1"/>
  <c r="O2"/>
  <c r="R2" s="1"/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2"/>
</calcChain>
</file>

<file path=xl/sharedStrings.xml><?xml version="1.0" encoding="utf-8"?>
<sst xmlns="http://schemas.openxmlformats.org/spreadsheetml/2006/main" count="1706" uniqueCount="45">
  <si>
    <t>utilityid</t>
  </si>
  <si>
    <t>utilname</t>
  </si>
  <si>
    <t>state</t>
  </si>
  <si>
    <t>year</t>
  </si>
  <si>
    <t>month</t>
  </si>
  <si>
    <t>res_revthousand</t>
  </si>
  <si>
    <t>res_salesmwh</t>
  </si>
  <si>
    <t>res_cons</t>
  </si>
  <si>
    <t>City of Boulder</t>
  </si>
  <si>
    <t>NV</t>
  </si>
  <si>
    <t>Mt Wheeler Power, Inc</t>
  </si>
  <si>
    <t>Nevada Power Co</t>
  </si>
  <si>
    <t>Raft Rural Elec Coop Inc</t>
  </si>
  <si>
    <t>Sierra Pacific Power Co</t>
  </si>
  <si>
    <t>Valley Electric Assn, Inc</t>
  </si>
  <si>
    <t>Wells Rural Electric Co</t>
  </si>
  <si>
    <t>utility_id</t>
  </si>
  <si>
    <t>state_code</t>
  </si>
  <si>
    <t>2007R</t>
  </si>
  <si>
    <t>City of Boulder City</t>
  </si>
  <si>
    <t>cldd</t>
  </si>
  <si>
    <t>htdd</t>
  </si>
  <si>
    <t>CDD</t>
  </si>
  <si>
    <t>HDD</t>
  </si>
  <si>
    <t>Pe</t>
  </si>
  <si>
    <t>Pg</t>
  </si>
  <si>
    <t xml:space="preserve">county </t>
  </si>
  <si>
    <t>Clark</t>
  </si>
  <si>
    <t>White Pine</t>
  </si>
  <si>
    <t xml:space="preserve">Clark </t>
  </si>
  <si>
    <t>Elko</t>
  </si>
  <si>
    <t>Washoe</t>
  </si>
  <si>
    <t xml:space="preserve">Esmeralda </t>
  </si>
  <si>
    <t>Eureka</t>
  </si>
  <si>
    <t xml:space="preserve">County </t>
  </si>
  <si>
    <t>Epc</t>
  </si>
  <si>
    <t>lnPg</t>
  </si>
  <si>
    <t>lnPe</t>
  </si>
  <si>
    <t>Y</t>
  </si>
  <si>
    <t>lnY</t>
  </si>
  <si>
    <t>lnEpc</t>
  </si>
  <si>
    <t>CLDD</t>
  </si>
  <si>
    <t>HTDD</t>
  </si>
  <si>
    <t>Ecp</t>
  </si>
  <si>
    <t>lnEcp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</si>
</sst>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0000"/>
  </numFmts>
  <fonts count="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6">
    <xf numFmtId="0" fontId="0" fillId="0" borderId="0" xfId="0"/>
    <xf numFmtId="11" fontId="0" fillId="0" borderId="0" xfId="0" applyNumberFormat="1"/>
    <xf numFmtId="0" fontId="0" fillId="0" borderId="0" xfId="0" applyNumberFormat="1" applyAlignment="1">
      <alignment horizontal="right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5"/>
  <sheetViews>
    <sheetView tabSelected="1" zoomScale="80" zoomScaleNormal="80" workbookViewId="0">
      <selection activeCell="M2" sqref="M2:M13"/>
    </sheetView>
  </sheetViews>
  <sheetFormatPr defaultRowHeight="12.75"/>
  <cols>
    <col min="1" max="1" width="6.5703125" customWidth="1"/>
    <col min="2" max="2" width="20.5703125" customWidth="1"/>
    <col min="3" max="3" width="9.85546875" style="32" customWidth="1"/>
    <col min="4" max="4" width="6.5703125" customWidth="1"/>
    <col min="8" max="8" width="14.140625" customWidth="1"/>
    <col min="12" max="12" width="9.140625" style="33"/>
    <col min="13" max="13" width="9.140625" style="32"/>
    <col min="16" max="16" width="9.140625" style="32"/>
  </cols>
  <sheetData>
    <row r="1" spans="1:19">
      <c r="A1" t="s">
        <v>0</v>
      </c>
      <c r="B1" t="s">
        <v>1</v>
      </c>
      <c r="C1" s="32" t="s">
        <v>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20</v>
      </c>
      <c r="K1" t="s">
        <v>21</v>
      </c>
      <c r="L1" s="33" t="s">
        <v>38</v>
      </c>
      <c r="M1" s="32" t="s">
        <v>25</v>
      </c>
      <c r="N1" t="s">
        <v>24</v>
      </c>
      <c r="O1" t="s">
        <v>36</v>
      </c>
      <c r="P1" s="32" t="s">
        <v>37</v>
      </c>
      <c r="Q1" s="32" t="s">
        <v>39</v>
      </c>
      <c r="R1" t="s">
        <v>35</v>
      </c>
      <c r="S1" t="s">
        <v>40</v>
      </c>
    </row>
    <row r="2" spans="1:19">
      <c r="A2">
        <v>2008</v>
      </c>
      <c r="B2" t="s">
        <v>8</v>
      </c>
      <c r="C2" s="32" t="s">
        <v>27</v>
      </c>
      <c r="D2" t="s">
        <v>9</v>
      </c>
      <c r="E2">
        <v>2005</v>
      </c>
      <c r="F2">
        <v>1</v>
      </c>
      <c r="G2">
        <v>300</v>
      </c>
      <c r="H2">
        <v>6696</v>
      </c>
      <c r="I2">
        <v>6690</v>
      </c>
      <c r="J2">
        <v>0</v>
      </c>
      <c r="K2">
        <v>482</v>
      </c>
      <c r="L2" s="33">
        <v>49565.04</v>
      </c>
      <c r="M2" s="32">
        <v>1.21</v>
      </c>
      <c r="N2">
        <v>4.4802867383512544E-2</v>
      </c>
      <c r="O2">
        <v>0.1906203596086497</v>
      </c>
      <c r="P2" s="32">
        <f>LN(N2)</f>
        <v>-3.1054831375131102</v>
      </c>
      <c r="Q2">
        <f>LN(L2)</f>
        <v>10.811041025487755</v>
      </c>
      <c r="R2">
        <v>1.0008968609865472</v>
      </c>
      <c r="S2">
        <v>8.9645904703720568E-4</v>
      </c>
    </row>
    <row r="3" spans="1:19">
      <c r="A3">
        <v>2008</v>
      </c>
      <c r="B3" t="s">
        <v>8</v>
      </c>
      <c r="C3" s="32" t="s">
        <v>27</v>
      </c>
      <c r="D3" t="s">
        <v>9</v>
      </c>
      <c r="E3">
        <v>2005</v>
      </c>
      <c r="F3">
        <v>2</v>
      </c>
      <c r="G3">
        <v>353</v>
      </c>
      <c r="H3">
        <v>7899</v>
      </c>
      <c r="I3">
        <v>6680</v>
      </c>
      <c r="J3">
        <v>0</v>
      </c>
      <c r="K3">
        <v>391</v>
      </c>
      <c r="L3" s="33">
        <v>49565.04</v>
      </c>
      <c r="M3" s="32">
        <v>1.21</v>
      </c>
      <c r="N3">
        <v>4.4689201164704394E-2</v>
      </c>
      <c r="O3">
        <v>0.1906203596086497</v>
      </c>
      <c r="P3" s="32">
        <f t="shared" ref="P3:P66" si="0">LN(N3)</f>
        <v>-3.1080233912311224</v>
      </c>
      <c r="Q3" s="32">
        <f t="shared" ref="Q3:Q66" si="1">LN(L3)</f>
        <v>10.811041025487755</v>
      </c>
      <c r="R3">
        <v>1.1824850299401197</v>
      </c>
      <c r="S3">
        <v>0.16761818163372766</v>
      </c>
    </row>
    <row r="4" spans="1:19" ht="12" customHeight="1">
      <c r="A4">
        <v>2008</v>
      </c>
      <c r="B4" t="s">
        <v>8</v>
      </c>
      <c r="C4" s="32" t="s">
        <v>27</v>
      </c>
      <c r="D4" t="s">
        <v>9</v>
      </c>
      <c r="E4">
        <v>2005</v>
      </c>
      <c r="F4">
        <v>3</v>
      </c>
      <c r="G4">
        <v>299</v>
      </c>
      <c r="H4">
        <v>6673</v>
      </c>
      <c r="I4">
        <v>6681</v>
      </c>
      <c r="J4">
        <v>3</v>
      </c>
      <c r="K4">
        <v>256</v>
      </c>
      <c r="L4" s="33">
        <v>49565.04</v>
      </c>
      <c r="M4" s="32">
        <v>1.21</v>
      </c>
      <c r="N4">
        <v>4.480743293870823E-2</v>
      </c>
      <c r="O4">
        <v>0.1906203596086497</v>
      </c>
      <c r="P4" s="32">
        <f t="shared" si="0"/>
        <v>-3.1053812395129201</v>
      </c>
      <c r="Q4" s="32">
        <f t="shared" si="1"/>
        <v>10.811041025487755</v>
      </c>
      <c r="R4">
        <v>0.99880257446490051</v>
      </c>
      <c r="S4">
        <v>-1.1981430218707253E-3</v>
      </c>
    </row>
    <row r="5" spans="1:19">
      <c r="A5">
        <v>2008</v>
      </c>
      <c r="B5" t="s">
        <v>8</v>
      </c>
      <c r="C5" s="32" t="s">
        <v>27</v>
      </c>
      <c r="D5" t="s">
        <v>9</v>
      </c>
      <c r="E5">
        <v>2005</v>
      </c>
      <c r="F5">
        <v>4</v>
      </c>
      <c r="G5">
        <v>272</v>
      </c>
      <c r="H5">
        <v>6062</v>
      </c>
      <c r="I5">
        <v>6708</v>
      </c>
      <c r="J5">
        <v>20</v>
      </c>
      <c r="K5">
        <v>104</v>
      </c>
      <c r="L5" s="33">
        <v>49565.04</v>
      </c>
      <c r="M5" s="32">
        <v>1.21</v>
      </c>
      <c r="N5">
        <v>4.4869679973606073E-2</v>
      </c>
      <c r="O5">
        <v>0.1906203596086497</v>
      </c>
      <c r="P5" s="32">
        <f t="shared" si="0"/>
        <v>-3.1039929913217512</v>
      </c>
      <c r="Q5" s="32">
        <f t="shared" si="1"/>
        <v>10.811041025487755</v>
      </c>
      <c r="R5">
        <v>0.90369707811568278</v>
      </c>
      <c r="S5">
        <v>-0.10126106532535099</v>
      </c>
    </row>
    <row r="6" spans="1:19">
      <c r="A6">
        <v>2008</v>
      </c>
      <c r="B6" t="s">
        <v>8</v>
      </c>
      <c r="C6" s="32" t="s">
        <v>27</v>
      </c>
      <c r="D6" t="s">
        <v>9</v>
      </c>
      <c r="E6">
        <v>2005</v>
      </c>
      <c r="F6">
        <v>5</v>
      </c>
      <c r="G6">
        <v>239</v>
      </c>
      <c r="H6">
        <v>5280</v>
      </c>
      <c r="I6">
        <v>6662</v>
      </c>
      <c r="J6">
        <v>346</v>
      </c>
      <c r="K6">
        <v>9</v>
      </c>
      <c r="L6" s="33">
        <v>49565.04</v>
      </c>
      <c r="M6" s="32">
        <v>1.21</v>
      </c>
      <c r="N6">
        <v>4.5265151515151515E-2</v>
      </c>
      <c r="O6">
        <v>0.1906203596086497</v>
      </c>
      <c r="P6" s="32">
        <f t="shared" si="0"/>
        <v>-3.0952178247687967</v>
      </c>
      <c r="Q6" s="32">
        <f t="shared" si="1"/>
        <v>10.811041025487755</v>
      </c>
      <c r="R6">
        <v>0.79255478835184634</v>
      </c>
      <c r="S6">
        <v>-0.23249364205331774</v>
      </c>
    </row>
    <row r="7" spans="1:19">
      <c r="A7">
        <v>2008</v>
      </c>
      <c r="B7" t="s">
        <v>8</v>
      </c>
      <c r="C7" s="32" t="s">
        <v>27</v>
      </c>
      <c r="D7" t="s">
        <v>9</v>
      </c>
      <c r="E7">
        <v>2005</v>
      </c>
      <c r="F7">
        <v>6</v>
      </c>
      <c r="G7">
        <v>361</v>
      </c>
      <c r="H7">
        <v>8084</v>
      </c>
      <c r="I7">
        <v>6668</v>
      </c>
      <c r="J7">
        <v>520</v>
      </c>
      <c r="K7">
        <v>0</v>
      </c>
      <c r="L7" s="33">
        <v>49565.04</v>
      </c>
      <c r="M7" s="32">
        <v>1.21</v>
      </c>
      <c r="N7">
        <v>4.4656110836219697E-2</v>
      </c>
      <c r="O7">
        <v>0.1906203596086497</v>
      </c>
      <c r="P7" s="32">
        <f t="shared" si="0"/>
        <v>-3.1087641201906306</v>
      </c>
      <c r="Q7" s="32">
        <f t="shared" si="1"/>
        <v>10.811041025487755</v>
      </c>
      <c r="R7">
        <v>1.2123575284943011</v>
      </c>
      <c r="S7">
        <v>0.19256683465282698</v>
      </c>
    </row>
    <row r="8" spans="1:19">
      <c r="A8">
        <v>2008</v>
      </c>
      <c r="B8" t="s">
        <v>8</v>
      </c>
      <c r="C8" s="32" t="s">
        <v>27</v>
      </c>
      <c r="D8" t="s">
        <v>9</v>
      </c>
      <c r="E8">
        <v>2005</v>
      </c>
      <c r="F8">
        <v>7</v>
      </c>
      <c r="G8">
        <v>506</v>
      </c>
      <c r="H8">
        <v>11377</v>
      </c>
      <c r="I8">
        <v>6705</v>
      </c>
      <c r="J8">
        <v>846</v>
      </c>
      <c r="K8">
        <v>0</v>
      </c>
      <c r="L8" s="33">
        <v>49565.04</v>
      </c>
      <c r="M8" s="32">
        <v>1.21</v>
      </c>
      <c r="N8">
        <v>4.4475696580820949E-2</v>
      </c>
      <c r="O8">
        <v>0.1906203596086497</v>
      </c>
      <c r="P8" s="32">
        <f t="shared" si="0"/>
        <v>-3.1128123832522512</v>
      </c>
      <c r="Q8" s="32">
        <f t="shared" si="1"/>
        <v>10.811041025487755</v>
      </c>
      <c r="R8">
        <v>1.6967934377330351</v>
      </c>
      <c r="S8">
        <v>0.52874025682393766</v>
      </c>
    </row>
    <row r="9" spans="1:19">
      <c r="A9">
        <v>2008</v>
      </c>
      <c r="B9" t="s">
        <v>8</v>
      </c>
      <c r="C9" s="32" t="s">
        <v>27</v>
      </c>
      <c r="D9" t="s">
        <v>9</v>
      </c>
      <c r="E9">
        <v>2005</v>
      </c>
      <c r="F9">
        <v>8</v>
      </c>
      <c r="G9">
        <v>678</v>
      </c>
      <c r="H9">
        <v>14971</v>
      </c>
      <c r="I9">
        <v>6714</v>
      </c>
      <c r="J9">
        <v>672</v>
      </c>
      <c r="K9">
        <v>0</v>
      </c>
      <c r="L9" s="33">
        <v>49565.04</v>
      </c>
      <c r="M9" s="32">
        <v>1.21</v>
      </c>
      <c r="N9">
        <v>4.5287555941486882E-2</v>
      </c>
      <c r="O9">
        <v>0.1906203596086497</v>
      </c>
      <c r="P9" s="32">
        <f t="shared" si="0"/>
        <v>-3.0947229875094409</v>
      </c>
      <c r="Q9" s="32">
        <f t="shared" si="1"/>
        <v>10.811041025487755</v>
      </c>
      <c r="R9">
        <v>2.2298182901400061</v>
      </c>
      <c r="S9">
        <v>0.80192009790985641</v>
      </c>
    </row>
    <row r="10" spans="1:19">
      <c r="A10">
        <v>2008</v>
      </c>
      <c r="B10" t="s">
        <v>8</v>
      </c>
      <c r="C10" s="32" t="s">
        <v>27</v>
      </c>
      <c r="D10" t="s">
        <v>9</v>
      </c>
      <c r="E10">
        <v>2005</v>
      </c>
      <c r="F10">
        <v>9</v>
      </c>
      <c r="G10">
        <v>556</v>
      </c>
      <c r="H10">
        <v>12453</v>
      </c>
      <c r="I10">
        <v>6720</v>
      </c>
      <c r="J10">
        <v>410</v>
      </c>
      <c r="K10">
        <v>0</v>
      </c>
      <c r="L10" s="33">
        <v>49565.04</v>
      </c>
      <c r="M10" s="32">
        <v>1.21</v>
      </c>
      <c r="N10">
        <v>4.4647876013811934E-2</v>
      </c>
      <c r="O10">
        <v>0.1906203596086497</v>
      </c>
      <c r="P10" s="32">
        <f t="shared" si="0"/>
        <v>-3.1089485424705661</v>
      </c>
      <c r="Q10" s="32">
        <f t="shared" si="1"/>
        <v>10.811041025487755</v>
      </c>
      <c r="R10">
        <v>1.8531249999999999</v>
      </c>
      <c r="S10">
        <v>0.61687340320395312</v>
      </c>
    </row>
    <row r="11" spans="1:19">
      <c r="A11">
        <v>2008</v>
      </c>
      <c r="B11" t="s">
        <v>8</v>
      </c>
      <c r="C11" s="32" t="s">
        <v>27</v>
      </c>
      <c r="D11" t="s">
        <v>9</v>
      </c>
      <c r="E11">
        <v>2005</v>
      </c>
      <c r="F11">
        <v>10</v>
      </c>
      <c r="G11">
        <v>452</v>
      </c>
      <c r="H11">
        <v>10197</v>
      </c>
      <c r="I11">
        <v>6702</v>
      </c>
      <c r="J11">
        <v>111</v>
      </c>
      <c r="K11">
        <v>27</v>
      </c>
      <c r="L11" s="33">
        <v>49565.04</v>
      </c>
      <c r="M11" s="32">
        <v>1.21</v>
      </c>
      <c r="N11">
        <v>4.4326762773364718E-2</v>
      </c>
      <c r="O11">
        <v>0.1906203596086497</v>
      </c>
      <c r="P11" s="32">
        <f t="shared" si="0"/>
        <v>-3.1161666585319945</v>
      </c>
      <c r="Q11" s="32">
        <f t="shared" si="1"/>
        <v>10.811041025487755</v>
      </c>
      <c r="R11">
        <v>1.5214861235452104</v>
      </c>
      <c r="S11">
        <v>0.41968757006696999</v>
      </c>
    </row>
    <row r="12" spans="1:19">
      <c r="A12">
        <v>2008</v>
      </c>
      <c r="B12" t="s">
        <v>8</v>
      </c>
      <c r="C12" s="32" t="s">
        <v>27</v>
      </c>
      <c r="D12" t="s">
        <v>9</v>
      </c>
      <c r="E12">
        <v>2005</v>
      </c>
      <c r="F12">
        <v>11</v>
      </c>
      <c r="G12">
        <v>288</v>
      </c>
      <c r="H12">
        <v>6445</v>
      </c>
      <c r="I12">
        <v>6680</v>
      </c>
      <c r="J12">
        <v>5</v>
      </c>
      <c r="K12">
        <v>250</v>
      </c>
      <c r="L12" s="33">
        <v>49565.04</v>
      </c>
      <c r="M12" s="32">
        <v>1.21</v>
      </c>
      <c r="N12">
        <v>4.468580294802172E-2</v>
      </c>
      <c r="O12">
        <v>0.1906203596086497</v>
      </c>
      <c r="P12" s="32">
        <f t="shared" si="0"/>
        <v>-3.1080994352373419</v>
      </c>
      <c r="Q12" s="32">
        <f t="shared" si="1"/>
        <v>10.811041025487755</v>
      </c>
      <c r="R12">
        <v>0.96482035928143717</v>
      </c>
      <c r="S12">
        <v>-3.5813351157403604E-2</v>
      </c>
    </row>
    <row r="13" spans="1:19">
      <c r="A13">
        <v>2008</v>
      </c>
      <c r="B13" t="s">
        <v>8</v>
      </c>
      <c r="C13" s="32" t="s">
        <v>27</v>
      </c>
      <c r="D13" t="s">
        <v>9</v>
      </c>
      <c r="E13">
        <v>2005</v>
      </c>
      <c r="F13">
        <v>12</v>
      </c>
      <c r="G13">
        <v>281</v>
      </c>
      <c r="H13">
        <v>6261</v>
      </c>
      <c r="I13">
        <v>6700</v>
      </c>
      <c r="J13">
        <v>0</v>
      </c>
      <c r="K13">
        <v>552</v>
      </c>
      <c r="L13" s="33">
        <v>49565.04</v>
      </c>
      <c r="M13" s="32">
        <v>1.21</v>
      </c>
      <c r="N13">
        <v>4.4881009423414789E-2</v>
      </c>
      <c r="O13">
        <v>0.1906203596086497</v>
      </c>
      <c r="P13" s="32">
        <f t="shared" si="0"/>
        <v>-3.1037405264115647</v>
      </c>
      <c r="Q13" s="32">
        <f t="shared" si="1"/>
        <v>10.811041025487755</v>
      </c>
      <c r="R13">
        <v>0.93447761194029855</v>
      </c>
      <c r="S13">
        <v>-6.776760963374695E-2</v>
      </c>
    </row>
    <row r="14" spans="1:19">
      <c r="A14">
        <v>13073</v>
      </c>
      <c r="B14" t="s">
        <v>10</v>
      </c>
      <c r="C14" s="32" t="s">
        <v>28</v>
      </c>
      <c r="D14" t="s">
        <v>9</v>
      </c>
      <c r="E14">
        <v>2005</v>
      </c>
      <c r="F14">
        <v>1</v>
      </c>
      <c r="G14">
        <v>446</v>
      </c>
      <c r="H14">
        <v>6806</v>
      </c>
      <c r="I14">
        <v>4662</v>
      </c>
      <c r="J14" s="3">
        <v>0</v>
      </c>
      <c r="K14" s="3">
        <v>1070</v>
      </c>
      <c r="L14" s="2">
        <v>40050</v>
      </c>
      <c r="M14" s="32">
        <v>1.5269999999999999</v>
      </c>
      <c r="N14">
        <v>6.5530414340287987E-2</v>
      </c>
      <c r="O14">
        <v>0.42330502623649535</v>
      </c>
      <c r="P14" s="32">
        <f t="shared" si="0"/>
        <v>-2.7252409030407869</v>
      </c>
      <c r="Q14" s="32">
        <f t="shared" si="1"/>
        <v>10.597883952496506</v>
      </c>
      <c r="R14">
        <v>1.4598884598884598</v>
      </c>
      <c r="S14">
        <v>0.37836003546514857</v>
      </c>
    </row>
    <row r="15" spans="1:19">
      <c r="A15">
        <v>13073</v>
      </c>
      <c r="B15" t="s">
        <v>10</v>
      </c>
      <c r="C15" s="32" t="s">
        <v>28</v>
      </c>
      <c r="D15" t="s">
        <v>9</v>
      </c>
      <c r="E15">
        <v>2005</v>
      </c>
      <c r="F15">
        <v>2</v>
      </c>
      <c r="G15">
        <v>420</v>
      </c>
      <c r="H15">
        <v>6265</v>
      </c>
      <c r="I15">
        <v>4659</v>
      </c>
      <c r="J15" s="3">
        <v>0</v>
      </c>
      <c r="K15" s="3">
        <v>925</v>
      </c>
      <c r="L15" s="2">
        <v>40050</v>
      </c>
      <c r="M15" s="32">
        <v>1.5269999999999999</v>
      </c>
      <c r="N15">
        <v>6.7039106145251395E-2</v>
      </c>
      <c r="O15">
        <v>0.42330502623649535</v>
      </c>
      <c r="P15" s="32">
        <f t="shared" si="0"/>
        <v>-2.7024791560527546</v>
      </c>
      <c r="Q15" s="32">
        <f t="shared" si="1"/>
        <v>10.597883952496506</v>
      </c>
      <c r="R15">
        <v>1.3447091650568792</v>
      </c>
      <c r="S15">
        <v>0.29617775551337194</v>
      </c>
    </row>
    <row r="16" spans="1:19">
      <c r="A16">
        <v>13073</v>
      </c>
      <c r="B16" t="s">
        <v>10</v>
      </c>
      <c r="C16" s="32" t="s">
        <v>28</v>
      </c>
      <c r="D16" t="s">
        <v>9</v>
      </c>
      <c r="E16">
        <v>2005</v>
      </c>
      <c r="F16">
        <v>3</v>
      </c>
      <c r="G16">
        <v>364</v>
      </c>
      <c r="H16">
        <v>5168</v>
      </c>
      <c r="I16">
        <v>4669</v>
      </c>
      <c r="J16" s="3">
        <v>0</v>
      </c>
      <c r="K16" s="3">
        <v>909</v>
      </c>
      <c r="L16" s="2">
        <v>40050</v>
      </c>
      <c r="M16" s="32">
        <v>1.5269999999999999</v>
      </c>
      <c r="N16">
        <v>7.0433436532507734E-2</v>
      </c>
      <c r="O16">
        <v>0.42330502623649535</v>
      </c>
      <c r="P16" s="32">
        <f t="shared" si="0"/>
        <v>-2.653087177825697</v>
      </c>
      <c r="Q16" s="32">
        <f t="shared" si="1"/>
        <v>10.597883952496506</v>
      </c>
      <c r="R16">
        <v>1.1068751338616407</v>
      </c>
      <c r="S16">
        <v>0.10154085049150086</v>
      </c>
    </row>
    <row r="17" spans="1:19">
      <c r="A17">
        <v>13073</v>
      </c>
      <c r="B17" t="s">
        <v>10</v>
      </c>
      <c r="C17" s="32" t="s">
        <v>28</v>
      </c>
      <c r="D17" t="s">
        <v>9</v>
      </c>
      <c r="E17">
        <v>2005</v>
      </c>
      <c r="F17">
        <v>4</v>
      </c>
      <c r="G17">
        <v>369</v>
      </c>
      <c r="H17">
        <v>5230</v>
      </c>
      <c r="I17">
        <v>4677</v>
      </c>
      <c r="J17" s="3">
        <v>0</v>
      </c>
      <c r="K17" s="3">
        <v>709</v>
      </c>
      <c r="L17" s="2">
        <v>40050</v>
      </c>
      <c r="M17" s="32">
        <v>1.5269999999999999</v>
      </c>
      <c r="N17">
        <v>7.0554493307839389E-2</v>
      </c>
      <c r="O17">
        <v>0.42330502623649535</v>
      </c>
      <c r="P17" s="32">
        <f t="shared" si="0"/>
        <v>-2.6513699130184416</v>
      </c>
      <c r="Q17" s="32">
        <f t="shared" si="1"/>
        <v>10.597883952496506</v>
      </c>
      <c r="R17">
        <v>1.1182381868719264</v>
      </c>
      <c r="S17">
        <v>0.11175439933308237</v>
      </c>
    </row>
    <row r="18" spans="1:19">
      <c r="A18">
        <v>13073</v>
      </c>
      <c r="B18" t="s">
        <v>10</v>
      </c>
      <c r="C18" s="32" t="s">
        <v>28</v>
      </c>
      <c r="D18" t="s">
        <v>9</v>
      </c>
      <c r="E18">
        <v>2005</v>
      </c>
      <c r="F18">
        <v>5</v>
      </c>
      <c r="G18">
        <v>322</v>
      </c>
      <c r="H18">
        <v>4304</v>
      </c>
      <c r="I18">
        <v>4692</v>
      </c>
      <c r="J18" s="3">
        <v>0</v>
      </c>
      <c r="K18" s="3">
        <v>431</v>
      </c>
      <c r="L18" s="2">
        <v>40050</v>
      </c>
      <c r="M18" s="32">
        <v>1.5269999999999999</v>
      </c>
      <c r="N18">
        <v>7.481412639405205E-2</v>
      </c>
      <c r="O18">
        <v>0.42330502623649535</v>
      </c>
      <c r="P18" s="32">
        <f t="shared" si="0"/>
        <v>-2.5927485562972121</v>
      </c>
      <c r="Q18" s="32">
        <f t="shared" si="1"/>
        <v>10.597883952496506</v>
      </c>
      <c r="R18">
        <v>0.91730605285592492</v>
      </c>
      <c r="S18">
        <v>-8.6314107931745793E-2</v>
      </c>
    </row>
    <row r="19" spans="1:19">
      <c r="A19">
        <v>13073</v>
      </c>
      <c r="B19" t="s">
        <v>10</v>
      </c>
      <c r="C19" s="32" t="s">
        <v>28</v>
      </c>
      <c r="D19" t="s">
        <v>9</v>
      </c>
      <c r="E19">
        <v>2005</v>
      </c>
      <c r="F19">
        <v>6</v>
      </c>
      <c r="G19">
        <v>288</v>
      </c>
      <c r="H19">
        <v>3587</v>
      </c>
      <c r="I19">
        <v>4707</v>
      </c>
      <c r="J19" s="3">
        <v>11</v>
      </c>
      <c r="K19" s="3">
        <v>233</v>
      </c>
      <c r="L19" s="2">
        <v>40050</v>
      </c>
      <c r="M19" s="32">
        <v>1.5269999999999999</v>
      </c>
      <c r="N19">
        <v>8.0289935879565094E-2</v>
      </c>
      <c r="O19">
        <v>0.42330502623649535</v>
      </c>
      <c r="P19" s="32">
        <f t="shared" si="0"/>
        <v>-2.5221109973963367</v>
      </c>
      <c r="Q19" s="32">
        <f t="shared" si="1"/>
        <v>10.597883952496506</v>
      </c>
      <c r="R19">
        <v>0.76205651157850018</v>
      </c>
      <c r="S19">
        <v>-0.27173456386885958</v>
      </c>
    </row>
    <row r="20" spans="1:19">
      <c r="A20">
        <v>13073</v>
      </c>
      <c r="B20" t="s">
        <v>10</v>
      </c>
      <c r="C20" s="32" t="s">
        <v>28</v>
      </c>
      <c r="D20" t="s">
        <v>9</v>
      </c>
      <c r="E20">
        <v>2005</v>
      </c>
      <c r="F20">
        <v>7</v>
      </c>
      <c r="G20">
        <v>257</v>
      </c>
      <c r="H20">
        <v>3016</v>
      </c>
      <c r="I20">
        <v>4708</v>
      </c>
      <c r="J20" s="3">
        <v>173</v>
      </c>
      <c r="K20" s="3">
        <v>3</v>
      </c>
      <c r="L20" s="2">
        <v>40050</v>
      </c>
      <c r="M20" s="32">
        <v>1.5269999999999999</v>
      </c>
      <c r="N20">
        <v>8.5212201591511938E-2</v>
      </c>
      <c r="O20">
        <v>0.42330502623649535</v>
      </c>
      <c r="P20" s="32">
        <f t="shared" si="0"/>
        <v>-2.462610644232627</v>
      </c>
      <c r="Q20" s="32">
        <f t="shared" si="1"/>
        <v>10.597883952496506</v>
      </c>
      <c r="R20">
        <v>0.64061172472387429</v>
      </c>
      <c r="S20">
        <v>-0.44533173925232061</v>
      </c>
    </row>
    <row r="21" spans="1:19">
      <c r="A21">
        <v>13073</v>
      </c>
      <c r="B21" t="s">
        <v>10</v>
      </c>
      <c r="C21" s="32" t="s">
        <v>28</v>
      </c>
      <c r="D21" t="s">
        <v>9</v>
      </c>
      <c r="E21">
        <v>2005</v>
      </c>
      <c r="F21">
        <v>8</v>
      </c>
      <c r="G21">
        <v>262</v>
      </c>
      <c r="H21">
        <v>3081</v>
      </c>
      <c r="I21">
        <v>4733</v>
      </c>
      <c r="J21" s="3">
        <v>68</v>
      </c>
      <c r="K21" s="3">
        <v>28</v>
      </c>
      <c r="L21" s="2">
        <v>40050</v>
      </c>
      <c r="M21" s="32">
        <v>1.5269999999999999</v>
      </c>
      <c r="N21">
        <v>8.5037325543654674E-2</v>
      </c>
      <c r="O21">
        <v>0.42330502623649535</v>
      </c>
      <c r="P21" s="32">
        <f t="shared" si="0"/>
        <v>-2.4646649948355708</v>
      </c>
      <c r="Q21" s="32">
        <f t="shared" si="1"/>
        <v>10.597883952496506</v>
      </c>
      <c r="R21">
        <v>0.6509613353053032</v>
      </c>
      <c r="S21">
        <v>-0.42930503130958003</v>
      </c>
    </row>
    <row r="22" spans="1:19">
      <c r="A22">
        <v>13073</v>
      </c>
      <c r="B22" t="s">
        <v>10</v>
      </c>
      <c r="C22" s="32" t="s">
        <v>28</v>
      </c>
      <c r="D22" t="s">
        <v>9</v>
      </c>
      <c r="E22">
        <v>2005</v>
      </c>
      <c r="F22">
        <v>9</v>
      </c>
      <c r="G22">
        <v>259</v>
      </c>
      <c r="H22">
        <v>3030</v>
      </c>
      <c r="I22">
        <v>4740</v>
      </c>
      <c r="J22" s="3">
        <v>3</v>
      </c>
      <c r="K22" s="3">
        <v>278</v>
      </c>
      <c r="L22" s="2">
        <v>40050</v>
      </c>
      <c r="M22" s="32">
        <v>1.5269999999999999</v>
      </c>
      <c r="N22">
        <v>8.5478547854785494E-2</v>
      </c>
      <c r="O22">
        <v>0.42330502623649535</v>
      </c>
      <c r="P22" s="32">
        <f t="shared" si="0"/>
        <v>-2.4594898368038769</v>
      </c>
      <c r="Q22" s="32">
        <f t="shared" si="1"/>
        <v>10.597883952496506</v>
      </c>
      <c r="R22">
        <v>0.63924050632911389</v>
      </c>
      <c r="S22">
        <v>-0.44747451618570738</v>
      </c>
    </row>
    <row r="23" spans="1:19">
      <c r="A23">
        <v>13073</v>
      </c>
      <c r="B23" t="s">
        <v>10</v>
      </c>
      <c r="C23" s="32" t="s">
        <v>28</v>
      </c>
      <c r="D23" t="s">
        <v>9</v>
      </c>
      <c r="E23">
        <v>2005</v>
      </c>
      <c r="F23">
        <v>10</v>
      </c>
      <c r="G23">
        <v>281</v>
      </c>
      <c r="H23">
        <v>3433</v>
      </c>
      <c r="I23">
        <v>4749</v>
      </c>
      <c r="J23" s="3">
        <v>0</v>
      </c>
      <c r="K23" s="3">
        <v>567</v>
      </c>
      <c r="L23" s="2">
        <v>40050</v>
      </c>
      <c r="M23" s="32">
        <v>1.5269999999999999</v>
      </c>
      <c r="N23">
        <v>8.1852607049228074E-2</v>
      </c>
      <c r="O23">
        <v>0.42330502623649535</v>
      </c>
      <c r="P23" s="32">
        <f t="shared" si="0"/>
        <v>-2.5028351241239464</v>
      </c>
      <c r="Q23" s="32">
        <f t="shared" si="1"/>
        <v>10.597883952496506</v>
      </c>
      <c r="R23">
        <v>0.72288902926931986</v>
      </c>
      <c r="S23">
        <v>-0.3244995550914298</v>
      </c>
    </row>
    <row r="24" spans="1:19">
      <c r="A24">
        <v>13073</v>
      </c>
      <c r="B24" t="s">
        <v>10</v>
      </c>
      <c r="C24" s="32" t="s">
        <v>28</v>
      </c>
      <c r="D24" t="s">
        <v>9</v>
      </c>
      <c r="E24">
        <v>2005</v>
      </c>
      <c r="F24">
        <v>11</v>
      </c>
      <c r="G24">
        <v>309</v>
      </c>
      <c r="H24">
        <v>3975</v>
      </c>
      <c r="I24">
        <v>4752</v>
      </c>
      <c r="J24" s="3">
        <v>0</v>
      </c>
      <c r="K24" s="3">
        <v>808</v>
      </c>
      <c r="L24" s="2">
        <v>40050</v>
      </c>
      <c r="M24" s="32">
        <v>1.5269999999999999</v>
      </c>
      <c r="N24">
        <v>7.7735849056603773E-2</v>
      </c>
      <c r="O24">
        <v>0.42330502623649535</v>
      </c>
      <c r="P24" s="32">
        <f t="shared" si="0"/>
        <v>-2.5544387501906867</v>
      </c>
      <c r="Q24" s="32">
        <f t="shared" si="1"/>
        <v>10.597883952496506</v>
      </c>
      <c r="R24">
        <v>0.83648989898989901</v>
      </c>
      <c r="S24">
        <v>-0.17854083395404857</v>
      </c>
    </row>
    <row r="25" spans="1:19">
      <c r="A25">
        <v>13073</v>
      </c>
      <c r="B25" t="s">
        <v>10</v>
      </c>
      <c r="C25" s="32" t="s">
        <v>28</v>
      </c>
      <c r="D25" t="s">
        <v>9</v>
      </c>
      <c r="E25">
        <v>2005</v>
      </c>
      <c r="F25">
        <v>12</v>
      </c>
      <c r="G25">
        <v>429</v>
      </c>
      <c r="H25">
        <v>6356</v>
      </c>
      <c r="I25">
        <v>4744</v>
      </c>
      <c r="J25" s="3">
        <v>0</v>
      </c>
      <c r="K25" s="3">
        <v>1107</v>
      </c>
      <c r="L25" s="2">
        <v>40050</v>
      </c>
      <c r="M25" s="32">
        <v>1.5269999999999999</v>
      </c>
      <c r="N25">
        <v>6.7495280050346135E-2</v>
      </c>
      <c r="O25">
        <v>0.42330502623649535</v>
      </c>
      <c r="P25" s="32">
        <f t="shared" si="0"/>
        <v>-2.6956976087285898</v>
      </c>
      <c r="Q25" s="32">
        <f t="shared" si="1"/>
        <v>10.597883952496506</v>
      </c>
      <c r="R25">
        <v>1.3397976391231028</v>
      </c>
      <c r="S25">
        <v>0.29251858697904515</v>
      </c>
    </row>
    <row r="26" spans="1:19">
      <c r="A26">
        <v>13407</v>
      </c>
      <c r="B26" t="s">
        <v>11</v>
      </c>
      <c r="C26" s="32" t="s">
        <v>29</v>
      </c>
      <c r="D26" t="s">
        <v>9</v>
      </c>
      <c r="E26">
        <v>2005</v>
      </c>
      <c r="F26">
        <v>1</v>
      </c>
      <c r="G26" s="32">
        <v>56623</v>
      </c>
      <c r="H26" s="32">
        <v>579422</v>
      </c>
      <c r="I26" s="32">
        <v>652173</v>
      </c>
      <c r="J26" s="4">
        <v>0</v>
      </c>
      <c r="K26" s="4">
        <v>414</v>
      </c>
      <c r="L26" s="2">
        <v>49571.040000000001</v>
      </c>
      <c r="M26" s="32">
        <v>1.21</v>
      </c>
      <c r="N26">
        <v>9.7723248340587696E-2</v>
      </c>
      <c r="O26">
        <v>0.1906203596086497</v>
      </c>
      <c r="P26" s="32">
        <f t="shared" si="0"/>
        <v>-2.325615791837385</v>
      </c>
      <c r="Q26" s="32">
        <f t="shared" si="1"/>
        <v>10.811162071226246</v>
      </c>
      <c r="R26">
        <v>0.8884483104943014</v>
      </c>
      <c r="S26">
        <v>-0.11827880922570344</v>
      </c>
    </row>
    <row r="27" spans="1:19">
      <c r="A27">
        <v>13407</v>
      </c>
      <c r="B27" t="s">
        <v>11</v>
      </c>
      <c r="C27" s="32" t="s">
        <v>29</v>
      </c>
      <c r="D27" t="s">
        <v>9</v>
      </c>
      <c r="E27">
        <v>2005</v>
      </c>
      <c r="F27">
        <v>2</v>
      </c>
      <c r="G27" s="32">
        <v>41782</v>
      </c>
      <c r="H27" s="32">
        <v>414061</v>
      </c>
      <c r="I27" s="32">
        <v>656049</v>
      </c>
      <c r="J27" s="4">
        <v>0</v>
      </c>
      <c r="K27" s="4">
        <v>326</v>
      </c>
      <c r="L27" s="2">
        <v>49571.040000000001</v>
      </c>
      <c r="M27" s="32">
        <v>1.21</v>
      </c>
      <c r="N27">
        <v>0.10090783725103306</v>
      </c>
      <c r="O27">
        <v>0.1906203596086497</v>
      </c>
      <c r="P27" s="32">
        <f t="shared" si="0"/>
        <v>-2.2935476811897129</v>
      </c>
      <c r="Q27" s="32">
        <f t="shared" si="1"/>
        <v>10.811162071226246</v>
      </c>
      <c r="R27">
        <v>0.63114340544684921</v>
      </c>
      <c r="S27">
        <v>-0.46022217530992809</v>
      </c>
    </row>
    <row r="28" spans="1:19">
      <c r="A28">
        <v>13407</v>
      </c>
      <c r="B28" t="s">
        <v>11</v>
      </c>
      <c r="C28" s="32" t="s">
        <v>29</v>
      </c>
      <c r="D28" t="s">
        <v>9</v>
      </c>
      <c r="E28">
        <v>2005</v>
      </c>
      <c r="F28">
        <v>3</v>
      </c>
      <c r="G28" s="32">
        <v>44599</v>
      </c>
      <c r="H28" s="32">
        <v>443222</v>
      </c>
      <c r="I28" s="32">
        <v>659698</v>
      </c>
      <c r="J28" s="4">
        <v>13</v>
      </c>
      <c r="K28" s="4">
        <v>174</v>
      </c>
      <c r="L28" s="2">
        <v>49571.040000000001</v>
      </c>
      <c r="M28" s="32">
        <v>1.21</v>
      </c>
      <c r="N28">
        <v>0.10062451773603294</v>
      </c>
      <c r="O28">
        <v>0.1906203596086497</v>
      </c>
      <c r="P28" s="32">
        <f t="shared" si="0"/>
        <v>-2.2963593359402816</v>
      </c>
      <c r="Q28" s="32">
        <f t="shared" si="1"/>
        <v>10.811162071226246</v>
      </c>
      <c r="R28">
        <v>0.671855909825405</v>
      </c>
      <c r="S28">
        <v>-0.39771138135289258</v>
      </c>
    </row>
    <row r="29" spans="1:19">
      <c r="A29">
        <v>13407</v>
      </c>
      <c r="B29" t="s">
        <v>11</v>
      </c>
      <c r="C29" s="32" t="s">
        <v>29</v>
      </c>
      <c r="D29" t="s">
        <v>9</v>
      </c>
      <c r="E29">
        <v>2005</v>
      </c>
      <c r="F29">
        <v>4</v>
      </c>
      <c r="G29" s="32">
        <v>41045</v>
      </c>
      <c r="H29" s="32">
        <v>396839</v>
      </c>
      <c r="I29" s="32">
        <v>658739</v>
      </c>
      <c r="J29" s="4">
        <v>73</v>
      </c>
      <c r="K29" s="4">
        <v>46</v>
      </c>
      <c r="L29" s="2">
        <v>49571.040000000001</v>
      </c>
      <c r="M29" s="32">
        <v>1.21</v>
      </c>
      <c r="N29">
        <v>0.10342985442459032</v>
      </c>
      <c r="O29">
        <v>0.1906203596086497</v>
      </c>
      <c r="P29" s="32">
        <f t="shared" si="0"/>
        <v>-2.2688616310710299</v>
      </c>
      <c r="Q29" s="32">
        <f t="shared" si="1"/>
        <v>10.811162071226246</v>
      </c>
      <c r="R29">
        <v>0.60242220363451993</v>
      </c>
      <c r="S29">
        <v>-0.50679674455267454</v>
      </c>
    </row>
    <row r="30" spans="1:19">
      <c r="A30">
        <v>13407</v>
      </c>
      <c r="B30" t="s">
        <v>11</v>
      </c>
      <c r="C30" s="32" t="s">
        <v>29</v>
      </c>
      <c r="D30" t="s">
        <v>9</v>
      </c>
      <c r="E30">
        <v>2005</v>
      </c>
      <c r="F30">
        <v>5</v>
      </c>
      <c r="G30" s="32">
        <v>56634</v>
      </c>
      <c r="H30" s="32">
        <v>558137</v>
      </c>
      <c r="I30" s="32">
        <v>661020</v>
      </c>
      <c r="J30" s="4">
        <v>438</v>
      </c>
      <c r="K30" s="4">
        <v>1</v>
      </c>
      <c r="L30" s="2">
        <v>49571.040000000001</v>
      </c>
      <c r="M30" s="32">
        <v>1.21</v>
      </c>
      <c r="N30">
        <v>0.1014697108416034</v>
      </c>
      <c r="O30">
        <v>0.1906203596086497</v>
      </c>
      <c r="P30" s="32">
        <f t="shared" si="0"/>
        <v>-2.2879949403886779</v>
      </c>
      <c r="Q30" s="32">
        <f t="shared" si="1"/>
        <v>10.811162071226246</v>
      </c>
      <c r="R30">
        <v>0.84435720553084626</v>
      </c>
      <c r="S30">
        <v>-0.1691796446204884</v>
      </c>
    </row>
    <row r="31" spans="1:19">
      <c r="A31">
        <v>13407</v>
      </c>
      <c r="B31" t="s">
        <v>11</v>
      </c>
      <c r="C31" s="32" t="s">
        <v>29</v>
      </c>
      <c r="D31" t="s">
        <v>9</v>
      </c>
      <c r="E31">
        <v>2005</v>
      </c>
      <c r="F31">
        <v>6</v>
      </c>
      <c r="G31" s="32">
        <v>95620</v>
      </c>
      <c r="H31" s="32">
        <v>990241</v>
      </c>
      <c r="I31" s="32">
        <v>668075</v>
      </c>
      <c r="J31" s="4">
        <v>607</v>
      </c>
      <c r="K31" s="4">
        <v>0</v>
      </c>
      <c r="L31" s="2">
        <v>49571.040000000001</v>
      </c>
      <c r="M31" s="32">
        <v>1.21</v>
      </c>
      <c r="N31">
        <v>9.6562351993100676E-2</v>
      </c>
      <c r="O31">
        <v>0.1906203596086497</v>
      </c>
      <c r="P31" s="32">
        <f t="shared" si="0"/>
        <v>-2.3375663446487804</v>
      </c>
      <c r="Q31" s="32">
        <f t="shared" si="1"/>
        <v>10.811162071226246</v>
      </c>
      <c r="R31">
        <v>1.482230288515511</v>
      </c>
      <c r="S31">
        <v>0.39354790516340693</v>
      </c>
    </row>
    <row r="32" spans="1:19">
      <c r="A32">
        <v>13407</v>
      </c>
      <c r="B32" t="s">
        <v>11</v>
      </c>
      <c r="C32" s="32" t="s">
        <v>29</v>
      </c>
      <c r="D32" t="s">
        <v>9</v>
      </c>
      <c r="E32">
        <v>2005</v>
      </c>
      <c r="F32">
        <v>7</v>
      </c>
      <c r="G32" s="32">
        <v>135505</v>
      </c>
      <c r="H32" s="32">
        <v>1408512</v>
      </c>
      <c r="I32" s="32">
        <v>669317</v>
      </c>
      <c r="J32" s="4">
        <v>947</v>
      </c>
      <c r="K32" s="4">
        <v>0</v>
      </c>
      <c r="L32" s="2">
        <v>49571.040000000001</v>
      </c>
      <c r="M32" s="32">
        <v>1.21</v>
      </c>
      <c r="N32">
        <v>9.6204363186114139E-2</v>
      </c>
      <c r="O32">
        <v>0.1906203596086497</v>
      </c>
      <c r="P32" s="32">
        <f t="shared" si="0"/>
        <v>-2.341280566973988</v>
      </c>
      <c r="Q32" s="32">
        <f t="shared" si="1"/>
        <v>10.811162071226246</v>
      </c>
      <c r="R32">
        <v>2.1044019500475857</v>
      </c>
      <c r="S32">
        <v>0.74403131752661655</v>
      </c>
    </row>
    <row r="33" spans="1:24">
      <c r="A33">
        <v>13407</v>
      </c>
      <c r="B33" t="s">
        <v>11</v>
      </c>
      <c r="C33" s="32" t="s">
        <v>29</v>
      </c>
      <c r="D33" t="s">
        <v>9</v>
      </c>
      <c r="E33">
        <v>2005</v>
      </c>
      <c r="F33">
        <v>8</v>
      </c>
      <c r="G33" s="32">
        <v>112549</v>
      </c>
      <c r="H33" s="32">
        <v>1172012</v>
      </c>
      <c r="I33" s="32">
        <v>672568</v>
      </c>
      <c r="J33" s="4">
        <v>769</v>
      </c>
      <c r="K33" s="4">
        <v>0</v>
      </c>
      <c r="L33" s="2">
        <v>49571.040000000001</v>
      </c>
      <c r="M33" s="32">
        <v>1.21</v>
      </c>
      <c r="N33">
        <v>9.6030586717542138E-2</v>
      </c>
      <c r="O33">
        <v>0.1906203596086497</v>
      </c>
      <c r="P33" s="32">
        <f t="shared" si="0"/>
        <v>-2.3430885266191472</v>
      </c>
      <c r="Q33" s="32">
        <f t="shared" si="1"/>
        <v>10.811162071226246</v>
      </c>
      <c r="R33">
        <v>1.7425925705653555</v>
      </c>
      <c r="S33">
        <v>0.55537398738656218</v>
      </c>
    </row>
    <row r="34" spans="1:24">
      <c r="A34">
        <v>13407</v>
      </c>
      <c r="B34" t="s">
        <v>11</v>
      </c>
      <c r="C34" s="32" t="s">
        <v>29</v>
      </c>
      <c r="D34" t="s">
        <v>9</v>
      </c>
      <c r="E34">
        <v>2005</v>
      </c>
      <c r="F34">
        <v>9</v>
      </c>
      <c r="G34" s="32">
        <v>84567</v>
      </c>
      <c r="H34" s="32">
        <v>868454</v>
      </c>
      <c r="I34" s="32">
        <v>676708</v>
      </c>
      <c r="J34" s="4">
        <v>518</v>
      </c>
      <c r="K34" s="4">
        <v>0</v>
      </c>
      <c r="L34" s="2">
        <v>49571.040000000001</v>
      </c>
      <c r="M34" s="32">
        <v>1.21</v>
      </c>
      <c r="N34">
        <v>9.7376487413265392E-2</v>
      </c>
      <c r="O34">
        <v>0.1906203596086497</v>
      </c>
      <c r="P34" s="32">
        <f t="shared" si="0"/>
        <v>-2.3291704998037503</v>
      </c>
      <c r="Q34" s="32">
        <f t="shared" si="1"/>
        <v>10.811162071226246</v>
      </c>
      <c r="R34">
        <v>1.2833511647564386</v>
      </c>
      <c r="S34">
        <v>0.24947475415046061</v>
      </c>
    </row>
    <row r="35" spans="1:24">
      <c r="A35">
        <v>13407</v>
      </c>
      <c r="B35" t="s">
        <v>11</v>
      </c>
      <c r="C35" s="32" t="s">
        <v>29</v>
      </c>
      <c r="D35" t="s">
        <v>9</v>
      </c>
      <c r="E35">
        <v>2005</v>
      </c>
      <c r="F35">
        <v>10</v>
      </c>
      <c r="G35" s="32">
        <v>55256</v>
      </c>
      <c r="H35" s="32">
        <v>523336</v>
      </c>
      <c r="I35" s="32">
        <v>676287</v>
      </c>
      <c r="J35" s="4">
        <v>182</v>
      </c>
      <c r="K35" s="4">
        <v>7</v>
      </c>
      <c r="L35" s="2">
        <v>49571.040000000001</v>
      </c>
      <c r="M35" s="32">
        <v>1.21</v>
      </c>
      <c r="N35">
        <v>0.10558417536725928</v>
      </c>
      <c r="O35">
        <v>0.1906203596086497</v>
      </c>
      <c r="P35" s="32">
        <f t="shared" si="0"/>
        <v>-2.2482467734159912</v>
      </c>
      <c r="Q35" s="32">
        <f t="shared" si="1"/>
        <v>10.811162071226246</v>
      </c>
      <c r="R35">
        <v>0.77383714310640306</v>
      </c>
      <c r="S35">
        <v>-0.25639383695483009</v>
      </c>
    </row>
    <row r="36" spans="1:24">
      <c r="A36">
        <v>13407</v>
      </c>
      <c r="B36" t="s">
        <v>11</v>
      </c>
      <c r="C36" s="32" t="s">
        <v>29</v>
      </c>
      <c r="D36" t="s">
        <v>9</v>
      </c>
      <c r="E36">
        <v>2005</v>
      </c>
      <c r="F36">
        <v>11</v>
      </c>
      <c r="G36" s="32">
        <v>38082</v>
      </c>
      <c r="H36" s="32">
        <v>348156</v>
      </c>
      <c r="I36" s="32">
        <v>680071</v>
      </c>
      <c r="J36" s="4">
        <v>18</v>
      </c>
      <c r="K36" s="4">
        <v>182</v>
      </c>
      <c r="L36" s="2">
        <v>49571.040000000001</v>
      </c>
      <c r="M36" s="32">
        <v>1.21</v>
      </c>
      <c r="N36">
        <v>0.10938200117188847</v>
      </c>
      <c r="O36">
        <v>0.1906203596086497</v>
      </c>
      <c r="P36" s="32">
        <f t="shared" si="0"/>
        <v>-2.2129089256385481</v>
      </c>
      <c r="Q36" s="32">
        <f t="shared" si="1"/>
        <v>10.811162071226246</v>
      </c>
      <c r="R36">
        <v>0.51194066501879953</v>
      </c>
      <c r="S36">
        <v>-0.66954654929339319</v>
      </c>
    </row>
    <row r="37" spans="1:24">
      <c r="A37">
        <v>13407</v>
      </c>
      <c r="B37" t="s">
        <v>11</v>
      </c>
      <c r="C37" s="32" t="s">
        <v>29</v>
      </c>
      <c r="D37" t="s">
        <v>9</v>
      </c>
      <c r="E37">
        <v>2005</v>
      </c>
      <c r="F37">
        <v>12</v>
      </c>
      <c r="G37" s="32">
        <v>60830</v>
      </c>
      <c r="H37" s="32">
        <v>585918</v>
      </c>
      <c r="I37" s="32">
        <v>682753</v>
      </c>
      <c r="J37" s="4">
        <v>0</v>
      </c>
      <c r="K37" s="4">
        <v>465</v>
      </c>
      <c r="L37" s="2">
        <v>49571.040000000001</v>
      </c>
      <c r="M37" s="32">
        <v>1.21</v>
      </c>
      <c r="N37">
        <v>0.10381998846254936</v>
      </c>
      <c r="O37">
        <v>0.42330502623649535</v>
      </c>
      <c r="P37" s="32">
        <f t="shared" si="0"/>
        <v>-2.2650967597124247</v>
      </c>
      <c r="Q37" s="32">
        <f t="shared" si="1"/>
        <v>10.811162071226246</v>
      </c>
      <c r="R37">
        <v>0.85816979200384325</v>
      </c>
      <c r="S37">
        <v>-0.15295330629399567</v>
      </c>
    </row>
    <row r="38" spans="1:24">
      <c r="A38">
        <v>22814</v>
      </c>
      <c r="B38" t="s">
        <v>12</v>
      </c>
      <c r="C38" s="32" t="s">
        <v>30</v>
      </c>
      <c r="D38" t="s">
        <v>9</v>
      </c>
      <c r="E38">
        <v>2005</v>
      </c>
      <c r="F38">
        <v>1</v>
      </c>
      <c r="G38">
        <v>126</v>
      </c>
      <c r="H38">
        <v>2007</v>
      </c>
      <c r="I38">
        <v>1554</v>
      </c>
      <c r="J38" s="4">
        <v>0</v>
      </c>
      <c r="K38" s="4">
        <v>1373</v>
      </c>
      <c r="L38" s="2">
        <v>54030.96</v>
      </c>
      <c r="M38" s="32">
        <v>1.5269999999999999</v>
      </c>
      <c r="N38">
        <v>6.2780269058295965E-2</v>
      </c>
      <c r="O38">
        <v>0.42330502623649535</v>
      </c>
      <c r="P38" s="32">
        <f t="shared" si="0"/>
        <v>-2.76811444184486</v>
      </c>
      <c r="Q38" s="32">
        <f t="shared" si="1"/>
        <v>10.897312494586982</v>
      </c>
      <c r="R38">
        <v>1.2915057915057915</v>
      </c>
      <c r="S38">
        <v>0.25580881786874538</v>
      </c>
    </row>
    <row r="39" spans="1:24">
      <c r="A39">
        <v>22814</v>
      </c>
      <c r="B39" t="s">
        <v>12</v>
      </c>
      <c r="C39" s="32" t="s">
        <v>30</v>
      </c>
      <c r="D39" t="s">
        <v>9</v>
      </c>
      <c r="E39">
        <v>2005</v>
      </c>
      <c r="F39">
        <v>2</v>
      </c>
      <c r="G39">
        <v>120</v>
      </c>
      <c r="H39">
        <v>1893</v>
      </c>
      <c r="I39">
        <v>1558</v>
      </c>
      <c r="J39" s="4">
        <v>0</v>
      </c>
      <c r="K39" s="4">
        <v>1149</v>
      </c>
      <c r="L39" s="2">
        <v>54030.96</v>
      </c>
      <c r="M39" s="32">
        <v>1.5269999999999999</v>
      </c>
      <c r="N39">
        <v>6.3391442155309036E-2</v>
      </c>
      <c r="O39">
        <v>0.42330502623649535</v>
      </c>
      <c r="P39" s="32">
        <f t="shared" si="0"/>
        <v>-2.7584264084272769</v>
      </c>
      <c r="Q39" s="32">
        <f t="shared" si="1"/>
        <v>10.897312494586982</v>
      </c>
      <c r="R39">
        <v>1.2150192554557124</v>
      </c>
      <c r="S39">
        <v>0.19475992477862927</v>
      </c>
    </row>
    <row r="40" spans="1:24">
      <c r="A40">
        <v>22814</v>
      </c>
      <c r="B40" t="s">
        <v>12</v>
      </c>
      <c r="C40" s="32" t="s">
        <v>30</v>
      </c>
      <c r="D40" t="s">
        <v>9</v>
      </c>
      <c r="E40">
        <v>2005</v>
      </c>
      <c r="F40">
        <v>3</v>
      </c>
      <c r="G40">
        <v>108</v>
      </c>
      <c r="H40">
        <v>1692</v>
      </c>
      <c r="I40">
        <v>1560</v>
      </c>
      <c r="J40" s="4">
        <v>0</v>
      </c>
      <c r="K40" s="4">
        <v>854</v>
      </c>
      <c r="L40" s="2">
        <v>54030.96</v>
      </c>
      <c r="M40" s="32">
        <v>1.5269999999999999</v>
      </c>
      <c r="N40">
        <v>6.3829787234042548E-2</v>
      </c>
      <c r="O40">
        <v>0.42330502623649535</v>
      </c>
      <c r="P40" s="32">
        <f t="shared" si="0"/>
        <v>-2.7515353130419489</v>
      </c>
      <c r="Q40" s="32">
        <f t="shared" si="1"/>
        <v>10.897312494586982</v>
      </c>
      <c r="R40">
        <v>1.0846153846153845</v>
      </c>
      <c r="S40">
        <v>8.1225439922585782E-2</v>
      </c>
    </row>
    <row r="41" spans="1:24">
      <c r="A41">
        <v>22814</v>
      </c>
      <c r="B41" t="s">
        <v>12</v>
      </c>
      <c r="C41" s="32" t="s">
        <v>30</v>
      </c>
      <c r="D41" t="s">
        <v>9</v>
      </c>
      <c r="E41">
        <v>2005</v>
      </c>
      <c r="F41">
        <v>4</v>
      </c>
      <c r="G41">
        <v>100</v>
      </c>
      <c r="H41">
        <v>1465</v>
      </c>
      <c r="I41">
        <v>1562</v>
      </c>
      <c r="J41" s="4">
        <v>0</v>
      </c>
      <c r="K41" s="4">
        <v>606</v>
      </c>
      <c r="L41" s="2">
        <v>54030.96</v>
      </c>
      <c r="M41" s="32">
        <v>1.5269999999999999</v>
      </c>
      <c r="N41">
        <v>6.8259385665529013E-2</v>
      </c>
      <c r="O41">
        <v>0.42330502623649535</v>
      </c>
      <c r="P41" s="32">
        <f t="shared" si="0"/>
        <v>-2.6844403354630764</v>
      </c>
      <c r="Q41" s="32">
        <f t="shared" si="1"/>
        <v>10.897312494586982</v>
      </c>
      <c r="R41">
        <v>0.93790012804097311</v>
      </c>
      <c r="S41">
        <v>-6.4111808948463592E-2</v>
      </c>
    </row>
    <row r="42" spans="1:24">
      <c r="A42">
        <v>22814</v>
      </c>
      <c r="B42" t="s">
        <v>12</v>
      </c>
      <c r="C42" s="32" t="s">
        <v>30</v>
      </c>
      <c r="D42" t="s">
        <v>9</v>
      </c>
      <c r="E42">
        <v>2005</v>
      </c>
      <c r="F42">
        <v>5</v>
      </c>
      <c r="G42">
        <v>73</v>
      </c>
      <c r="H42">
        <v>998</v>
      </c>
      <c r="I42">
        <v>1555</v>
      </c>
      <c r="J42" s="4">
        <v>0</v>
      </c>
      <c r="K42" s="4">
        <v>330</v>
      </c>
      <c r="L42" s="2">
        <v>54030.96</v>
      </c>
      <c r="M42" s="32">
        <v>1.5269999999999999</v>
      </c>
      <c r="N42">
        <v>7.3146292585170344E-2</v>
      </c>
      <c r="O42">
        <v>0.42330502623649535</v>
      </c>
      <c r="P42" s="32">
        <f t="shared" si="0"/>
        <v>-2.6152938351630728</v>
      </c>
      <c r="Q42" s="32">
        <f t="shared" si="1"/>
        <v>10.897312494586982</v>
      </c>
      <c r="R42">
        <v>0.64180064308681684</v>
      </c>
      <c r="S42">
        <v>-0.44347754830187036</v>
      </c>
    </row>
    <row r="43" spans="1:24">
      <c r="A43">
        <v>22814</v>
      </c>
      <c r="B43" t="s">
        <v>12</v>
      </c>
      <c r="C43" s="32" t="s">
        <v>30</v>
      </c>
      <c r="D43" t="s">
        <v>9</v>
      </c>
      <c r="E43">
        <v>2005</v>
      </c>
      <c r="F43">
        <v>6</v>
      </c>
      <c r="G43">
        <v>67</v>
      </c>
      <c r="H43">
        <v>922</v>
      </c>
      <c r="I43">
        <v>1553</v>
      </c>
      <c r="J43" s="4">
        <v>23</v>
      </c>
      <c r="K43" s="4">
        <v>196</v>
      </c>
      <c r="L43" s="2">
        <v>54030.96</v>
      </c>
      <c r="M43" s="32">
        <v>1.5269999999999999</v>
      </c>
      <c r="N43">
        <v>7.2668112798264642E-2</v>
      </c>
      <c r="O43">
        <v>0.42330502623649535</v>
      </c>
      <c r="P43" s="32">
        <f t="shared" si="0"/>
        <v>-2.6218526041656278</v>
      </c>
      <c r="Q43" s="32">
        <f t="shared" si="1"/>
        <v>10.897312494586982</v>
      </c>
      <c r="R43">
        <v>0.59368963296844812</v>
      </c>
      <c r="S43">
        <v>-0.52139859959209334</v>
      </c>
      <c r="X43" s="32">
        <v>6.2780269058295965E-2</v>
      </c>
    </row>
    <row r="44" spans="1:24">
      <c r="A44">
        <v>22814</v>
      </c>
      <c r="B44" t="s">
        <v>12</v>
      </c>
      <c r="C44" s="32" t="s">
        <v>30</v>
      </c>
      <c r="D44" t="s">
        <v>9</v>
      </c>
      <c r="E44">
        <v>2005</v>
      </c>
      <c r="F44">
        <v>7</v>
      </c>
      <c r="G44">
        <v>69</v>
      </c>
      <c r="H44">
        <v>927</v>
      </c>
      <c r="I44">
        <v>1564</v>
      </c>
      <c r="J44" s="4">
        <v>259</v>
      </c>
      <c r="K44" s="4">
        <v>0</v>
      </c>
      <c r="L44" s="2">
        <v>54030.96</v>
      </c>
      <c r="M44" s="32">
        <v>1.5269999999999999</v>
      </c>
      <c r="N44">
        <v>7.4433656957928807E-2</v>
      </c>
      <c r="O44">
        <v>0.42330502623649535</v>
      </c>
      <c r="P44" s="32">
        <f t="shared" si="0"/>
        <v>-2.5978470609685957</v>
      </c>
      <c r="Q44" s="32">
        <f t="shared" si="1"/>
        <v>10.897312494586982</v>
      </c>
      <c r="R44">
        <v>0.59271099744245526</v>
      </c>
      <c r="S44">
        <v>-0.52304835553940121</v>
      </c>
      <c r="X44" s="32">
        <v>6.3391442155309036E-2</v>
      </c>
    </row>
    <row r="45" spans="1:24">
      <c r="A45">
        <v>22814</v>
      </c>
      <c r="B45" t="s">
        <v>12</v>
      </c>
      <c r="C45" s="32" t="s">
        <v>30</v>
      </c>
      <c r="D45" t="s">
        <v>9</v>
      </c>
      <c r="E45">
        <v>2005</v>
      </c>
      <c r="F45">
        <v>8</v>
      </c>
      <c r="G45">
        <v>56</v>
      </c>
      <c r="H45">
        <v>754</v>
      </c>
      <c r="I45">
        <v>1581</v>
      </c>
      <c r="J45" s="4">
        <v>149</v>
      </c>
      <c r="K45" s="4">
        <v>16</v>
      </c>
      <c r="L45" s="2">
        <v>54030.96</v>
      </c>
      <c r="M45" s="32">
        <v>1.5269999999999999</v>
      </c>
      <c r="N45">
        <v>7.4270557029177717E-2</v>
      </c>
      <c r="O45">
        <v>0.42330502623649535</v>
      </c>
      <c r="P45" s="32">
        <f t="shared" si="0"/>
        <v>-2.6000406772728071</v>
      </c>
      <c r="Q45" s="32">
        <f t="shared" si="1"/>
        <v>10.897312494586982</v>
      </c>
      <c r="R45">
        <v>0.47691334598355473</v>
      </c>
      <c r="S45">
        <v>-0.74042046920151594</v>
      </c>
      <c r="X45" s="32">
        <v>6.3829787234042548E-2</v>
      </c>
    </row>
    <row r="46" spans="1:24">
      <c r="A46">
        <v>22814</v>
      </c>
      <c r="B46" t="s">
        <v>12</v>
      </c>
      <c r="C46" s="32" t="s">
        <v>30</v>
      </c>
      <c r="D46" t="s">
        <v>9</v>
      </c>
      <c r="E46">
        <v>2005</v>
      </c>
      <c r="F46">
        <v>9</v>
      </c>
      <c r="G46">
        <v>57</v>
      </c>
      <c r="H46">
        <v>813</v>
      </c>
      <c r="I46">
        <v>1581</v>
      </c>
      <c r="J46" s="4">
        <v>10</v>
      </c>
      <c r="K46" s="4">
        <v>263</v>
      </c>
      <c r="L46" s="2">
        <v>54030.96</v>
      </c>
      <c r="M46" s="32">
        <v>1.5269999999999999</v>
      </c>
      <c r="N46">
        <v>7.0110701107011064E-2</v>
      </c>
      <c r="O46">
        <v>0.42330502623649535</v>
      </c>
      <c r="P46" s="32">
        <f t="shared" si="0"/>
        <v>-2.6576798417132603</v>
      </c>
      <c r="Q46" s="32">
        <f t="shared" si="1"/>
        <v>10.897312494586982</v>
      </c>
      <c r="R46">
        <v>0.51423149905123344</v>
      </c>
      <c r="S46">
        <v>-0.66508172766166129</v>
      </c>
      <c r="X46" s="32">
        <v>6.8259385665529013E-2</v>
      </c>
    </row>
    <row r="47" spans="1:24">
      <c r="A47">
        <v>22814</v>
      </c>
      <c r="B47" t="s">
        <v>12</v>
      </c>
      <c r="C47" s="32" t="s">
        <v>30</v>
      </c>
      <c r="D47" t="s">
        <v>9</v>
      </c>
      <c r="E47">
        <v>2005</v>
      </c>
      <c r="F47">
        <v>10</v>
      </c>
      <c r="G47">
        <v>75</v>
      </c>
      <c r="H47">
        <v>1085</v>
      </c>
      <c r="I47">
        <v>1581</v>
      </c>
      <c r="J47" s="4">
        <v>0</v>
      </c>
      <c r="K47" s="4">
        <v>528</v>
      </c>
      <c r="L47" s="2">
        <v>54030.96</v>
      </c>
      <c r="M47" s="32">
        <v>1.5269999999999999</v>
      </c>
      <c r="N47">
        <v>6.9124423963133647E-2</v>
      </c>
      <c r="O47">
        <v>0.42330502623649535</v>
      </c>
      <c r="P47" s="32">
        <f t="shared" si="0"/>
        <v>-2.6718471524382492</v>
      </c>
      <c r="Q47" s="32">
        <f t="shared" si="1"/>
        <v>10.897312494586982</v>
      </c>
      <c r="R47">
        <v>0.68627450980392157</v>
      </c>
      <c r="S47">
        <v>-0.3764775712349121</v>
      </c>
      <c r="X47" s="32">
        <v>7.3146292585170344E-2</v>
      </c>
    </row>
    <row r="48" spans="1:24">
      <c r="A48">
        <v>22814</v>
      </c>
      <c r="B48" t="s">
        <v>12</v>
      </c>
      <c r="C48" s="32" t="s">
        <v>30</v>
      </c>
      <c r="D48" t="s">
        <v>9</v>
      </c>
      <c r="E48">
        <v>2005</v>
      </c>
      <c r="F48">
        <v>11</v>
      </c>
      <c r="G48">
        <v>108</v>
      </c>
      <c r="H48">
        <v>1621</v>
      </c>
      <c r="I48">
        <v>1581</v>
      </c>
      <c r="J48" s="4">
        <v>0</v>
      </c>
      <c r="K48" s="4">
        <v>825</v>
      </c>
      <c r="L48" s="2">
        <v>54030.96</v>
      </c>
      <c r="M48" s="32">
        <v>1.5269999999999999</v>
      </c>
      <c r="N48">
        <v>6.662553979025293E-2</v>
      </c>
      <c r="O48">
        <v>0.42330502623649535</v>
      </c>
      <c r="P48" s="32">
        <f t="shared" si="0"/>
        <v>-2.7086672946114563</v>
      </c>
      <c r="Q48" s="32">
        <f t="shared" si="1"/>
        <v>10.897312494586982</v>
      </c>
      <c r="R48">
        <v>1.0253004427577483</v>
      </c>
      <c r="S48">
        <v>2.4985684526204165E-2</v>
      </c>
      <c r="X48" s="32">
        <v>7.2668112798264642E-2</v>
      </c>
    </row>
    <row r="49" spans="1:24">
      <c r="A49">
        <v>22814</v>
      </c>
      <c r="B49" t="s">
        <v>12</v>
      </c>
      <c r="C49" s="32" t="s">
        <v>30</v>
      </c>
      <c r="D49" t="s">
        <v>9</v>
      </c>
      <c r="E49">
        <v>2005</v>
      </c>
      <c r="F49">
        <v>12</v>
      </c>
      <c r="G49">
        <v>167</v>
      </c>
      <c r="H49">
        <v>2194</v>
      </c>
      <c r="I49">
        <v>1537</v>
      </c>
      <c r="J49" s="4">
        <v>0</v>
      </c>
      <c r="K49" s="4">
        <v>1106</v>
      </c>
      <c r="L49" s="2">
        <v>54030.96</v>
      </c>
      <c r="M49" s="32">
        <v>1.5269999999999999</v>
      </c>
      <c r="N49">
        <v>7.6116681859617133E-2</v>
      </c>
      <c r="O49">
        <v>0.42330502623649535</v>
      </c>
      <c r="P49" s="32">
        <f t="shared" si="0"/>
        <v>-2.5754878284184204</v>
      </c>
      <c r="Q49" s="32">
        <f t="shared" si="1"/>
        <v>10.897312494586982</v>
      </c>
      <c r="R49">
        <v>1.4274560832791152</v>
      </c>
      <c r="S49">
        <v>0.35589389729657972</v>
      </c>
      <c r="U49" s="32">
        <v>0.11338234443951978</v>
      </c>
      <c r="X49" s="32">
        <v>7.4433656957928807E-2</v>
      </c>
    </row>
    <row r="50" spans="1:24">
      <c r="A50">
        <v>17166</v>
      </c>
      <c r="B50" t="s">
        <v>13</v>
      </c>
      <c r="C50" s="32" t="s">
        <v>31</v>
      </c>
      <c r="D50" t="s">
        <v>9</v>
      </c>
      <c r="E50">
        <v>2005</v>
      </c>
      <c r="F50">
        <v>1</v>
      </c>
      <c r="G50">
        <v>23535</v>
      </c>
      <c r="H50">
        <v>207572</v>
      </c>
      <c r="I50">
        <v>257958</v>
      </c>
      <c r="J50" s="5">
        <v>0</v>
      </c>
      <c r="K50" s="5">
        <v>1042</v>
      </c>
      <c r="L50" s="2">
        <v>49200</v>
      </c>
      <c r="M50" s="32">
        <v>1.5269999999999999</v>
      </c>
      <c r="N50">
        <v>0.11338234443951978</v>
      </c>
      <c r="O50">
        <v>0.42330502623649535</v>
      </c>
      <c r="P50" s="32">
        <f t="shared" si="0"/>
        <v>-2.1769895925830576</v>
      </c>
      <c r="Q50" s="32">
        <f t="shared" si="1"/>
        <v>10.803648902480399</v>
      </c>
      <c r="R50">
        <v>0.80467362904038642</v>
      </c>
      <c r="S50">
        <v>-0.21731851353593606</v>
      </c>
      <c r="U50" s="32">
        <v>0.113956795187312</v>
      </c>
      <c r="X50" s="32">
        <v>7.4270557029177717E-2</v>
      </c>
    </row>
    <row r="51" spans="1:24">
      <c r="A51">
        <v>17166</v>
      </c>
      <c r="B51" t="s">
        <v>13</v>
      </c>
      <c r="C51" s="32" t="s">
        <v>31</v>
      </c>
      <c r="D51" t="s">
        <v>9</v>
      </c>
      <c r="E51">
        <v>2005</v>
      </c>
      <c r="F51">
        <v>2</v>
      </c>
      <c r="G51">
        <v>20837</v>
      </c>
      <c r="H51">
        <v>182850</v>
      </c>
      <c r="I51">
        <v>258312</v>
      </c>
      <c r="J51" s="5">
        <v>0</v>
      </c>
      <c r="K51" s="5">
        <v>727</v>
      </c>
      <c r="L51" s="2">
        <v>49200</v>
      </c>
      <c r="M51" s="32">
        <v>1.5269999999999999</v>
      </c>
      <c r="N51">
        <v>0.113956795187312</v>
      </c>
      <c r="O51">
        <v>0.42330502623649535</v>
      </c>
      <c r="P51" s="32">
        <f t="shared" si="0"/>
        <v>-2.1719358920073271</v>
      </c>
      <c r="Q51" s="32">
        <f t="shared" si="1"/>
        <v>10.803648902480399</v>
      </c>
      <c r="R51">
        <v>0.70786490755365605</v>
      </c>
      <c r="S51">
        <v>-0.34550201203471659</v>
      </c>
      <c r="U51" s="32">
        <v>0.11472944714644863</v>
      </c>
      <c r="X51" s="32">
        <v>7.0110701107011064E-2</v>
      </c>
    </row>
    <row r="52" spans="1:24">
      <c r="A52">
        <v>17166</v>
      </c>
      <c r="B52" t="s">
        <v>13</v>
      </c>
      <c r="C52" s="32" t="s">
        <v>31</v>
      </c>
      <c r="D52" t="s">
        <v>9</v>
      </c>
      <c r="E52">
        <v>2005</v>
      </c>
      <c r="F52">
        <v>3</v>
      </c>
      <c r="G52">
        <v>19532</v>
      </c>
      <c r="H52">
        <v>170244</v>
      </c>
      <c r="I52">
        <v>259157</v>
      </c>
      <c r="J52" s="5">
        <v>0</v>
      </c>
      <c r="K52" s="5">
        <v>589</v>
      </c>
      <c r="L52" s="2">
        <v>49200</v>
      </c>
      <c r="M52" s="32">
        <v>1.5269999999999999</v>
      </c>
      <c r="N52">
        <v>0.11472944714644863</v>
      </c>
      <c r="O52">
        <v>0.42330502623649535</v>
      </c>
      <c r="P52" s="32">
        <f t="shared" si="0"/>
        <v>-2.1651785559184349</v>
      </c>
      <c r="Q52" s="32">
        <f t="shared" si="1"/>
        <v>10.803648902480399</v>
      </c>
      <c r="R52">
        <v>0.65691453443279557</v>
      </c>
      <c r="S52">
        <v>-0.42020135353643467</v>
      </c>
      <c r="U52" s="32">
        <v>0.11553745016201512</v>
      </c>
      <c r="X52" s="32">
        <v>6.9124423963133647E-2</v>
      </c>
    </row>
    <row r="53" spans="1:24">
      <c r="A53">
        <v>17166</v>
      </c>
      <c r="B53" t="s">
        <v>13</v>
      </c>
      <c r="C53" s="32" t="s">
        <v>31</v>
      </c>
      <c r="D53" t="s">
        <v>9</v>
      </c>
      <c r="E53">
        <v>2005</v>
      </c>
      <c r="F53">
        <v>4</v>
      </c>
      <c r="G53">
        <v>17329</v>
      </c>
      <c r="H53">
        <v>149986</v>
      </c>
      <c r="I53">
        <v>259447</v>
      </c>
      <c r="J53" s="5">
        <v>0</v>
      </c>
      <c r="K53" s="5">
        <v>503</v>
      </c>
      <c r="L53" s="2">
        <v>49200</v>
      </c>
      <c r="M53" s="32">
        <v>1.5269999999999999</v>
      </c>
      <c r="N53">
        <v>0.11553745016201512</v>
      </c>
      <c r="O53">
        <v>0.42330502623649535</v>
      </c>
      <c r="P53" s="32">
        <f t="shared" si="0"/>
        <v>-2.1581605577489875</v>
      </c>
      <c r="Q53" s="32">
        <f t="shared" si="1"/>
        <v>10.803648902480399</v>
      </c>
      <c r="R53">
        <v>0.57809880245290945</v>
      </c>
      <c r="S53">
        <v>-0.54801048641823691</v>
      </c>
      <c r="U53" s="32">
        <v>0.11612819514726871</v>
      </c>
      <c r="X53" s="32">
        <v>6.662553979025293E-2</v>
      </c>
    </row>
    <row r="54" spans="1:24">
      <c r="A54">
        <v>17166</v>
      </c>
      <c r="B54" t="s">
        <v>13</v>
      </c>
      <c r="C54" s="32" t="s">
        <v>31</v>
      </c>
      <c r="D54" t="s">
        <v>9</v>
      </c>
      <c r="E54">
        <v>2005</v>
      </c>
      <c r="F54">
        <v>5</v>
      </c>
      <c r="G54">
        <v>17005</v>
      </c>
      <c r="H54">
        <v>146433</v>
      </c>
      <c r="I54">
        <v>259663</v>
      </c>
      <c r="J54" s="5">
        <v>26</v>
      </c>
      <c r="K54" s="5">
        <v>227</v>
      </c>
      <c r="L54" s="2">
        <v>49200</v>
      </c>
      <c r="M54" s="32">
        <v>1.5269999999999999</v>
      </c>
      <c r="N54">
        <v>0.11612819514726871</v>
      </c>
      <c r="O54">
        <v>0.42330502623649535</v>
      </c>
      <c r="P54" s="32">
        <f t="shared" si="0"/>
        <v>-2.1530605675031378</v>
      </c>
      <c r="Q54" s="32">
        <f t="shared" si="1"/>
        <v>10.803648902480399</v>
      </c>
      <c r="R54">
        <v>0.56393479240400057</v>
      </c>
      <c r="S54">
        <v>-0.57281665047312191</v>
      </c>
      <c r="U54" s="32">
        <v>0.12104497050486478</v>
      </c>
      <c r="X54" s="32">
        <v>7.6116681859617133E-2</v>
      </c>
    </row>
    <row r="55" spans="1:24">
      <c r="A55">
        <v>17166</v>
      </c>
      <c r="B55" t="s">
        <v>13</v>
      </c>
      <c r="C55" s="32" t="s">
        <v>31</v>
      </c>
      <c r="D55" t="s">
        <v>9</v>
      </c>
      <c r="E55">
        <v>2005</v>
      </c>
      <c r="F55">
        <v>6</v>
      </c>
      <c r="G55">
        <v>17380</v>
      </c>
      <c r="H55">
        <v>143583</v>
      </c>
      <c r="I55">
        <v>261201</v>
      </c>
      <c r="J55" s="5">
        <v>68</v>
      </c>
      <c r="K55" s="5">
        <v>113</v>
      </c>
      <c r="L55" s="2">
        <v>49200</v>
      </c>
      <c r="M55" s="32">
        <v>1.5269999999999999</v>
      </c>
      <c r="N55">
        <v>0.12104497050486478</v>
      </c>
      <c r="O55">
        <v>0.42330502623649535</v>
      </c>
      <c r="P55" s="32">
        <f t="shared" si="0"/>
        <v>-2.1115931453677774</v>
      </c>
      <c r="Q55" s="32">
        <f t="shared" si="1"/>
        <v>10.803648902480399</v>
      </c>
      <c r="R55">
        <v>0.54970310220864393</v>
      </c>
      <c r="S55">
        <v>-0.59837696067384438</v>
      </c>
      <c r="U55" s="32">
        <v>0.11937579725322996</v>
      </c>
      <c r="X55">
        <f>AVERAGE(X43:X54)</f>
        <v>6.9563070850311076E-2</v>
      </c>
    </row>
    <row r="56" spans="1:24">
      <c r="A56">
        <v>17166</v>
      </c>
      <c r="B56" t="s">
        <v>13</v>
      </c>
      <c r="C56" s="32" t="s">
        <v>31</v>
      </c>
      <c r="D56" t="s">
        <v>9</v>
      </c>
      <c r="E56">
        <v>2005</v>
      </c>
      <c r="F56">
        <v>7</v>
      </c>
      <c r="G56">
        <v>24051</v>
      </c>
      <c r="H56">
        <v>201473</v>
      </c>
      <c r="I56">
        <v>261239</v>
      </c>
      <c r="J56" s="5">
        <v>471</v>
      </c>
      <c r="K56" s="5">
        <v>0</v>
      </c>
      <c r="L56" s="2">
        <v>49200</v>
      </c>
      <c r="M56" s="32">
        <v>1.5269999999999999</v>
      </c>
      <c r="N56">
        <v>0.11937579725322996</v>
      </c>
      <c r="O56">
        <v>0.42330502623649535</v>
      </c>
      <c r="P56" s="32">
        <f t="shared" si="0"/>
        <v>-2.1254788016424557</v>
      </c>
      <c r="Q56" s="32">
        <f t="shared" si="1"/>
        <v>10.803648902480399</v>
      </c>
      <c r="R56">
        <v>0.77122098920911497</v>
      </c>
      <c r="S56">
        <v>-0.25978031975803167</v>
      </c>
      <c r="U56" s="32">
        <v>0.11802242956617434</v>
      </c>
    </row>
    <row r="57" spans="1:24">
      <c r="A57">
        <v>17166</v>
      </c>
      <c r="B57" t="s">
        <v>13</v>
      </c>
      <c r="C57" s="32" t="s">
        <v>31</v>
      </c>
      <c r="D57" t="s">
        <v>9</v>
      </c>
      <c r="E57">
        <v>2005</v>
      </c>
      <c r="F57">
        <v>8</v>
      </c>
      <c r="G57">
        <v>29814</v>
      </c>
      <c r="H57">
        <v>252613</v>
      </c>
      <c r="I57">
        <v>262906</v>
      </c>
      <c r="J57" s="5">
        <v>365</v>
      </c>
      <c r="K57" s="5">
        <v>1</v>
      </c>
      <c r="L57" s="2">
        <v>49200</v>
      </c>
      <c r="M57" s="32">
        <v>1.5269999999999999</v>
      </c>
      <c r="N57">
        <v>0.11802242956617434</v>
      </c>
      <c r="O57">
        <v>0.42330502623649535</v>
      </c>
      <c r="P57" s="32">
        <f t="shared" si="0"/>
        <v>-2.1368805915103155</v>
      </c>
      <c r="Q57" s="32">
        <f t="shared" si="1"/>
        <v>10.803648902480399</v>
      </c>
      <c r="R57">
        <v>0.96084912478224149</v>
      </c>
      <c r="S57">
        <v>-3.9937880482773754E-2</v>
      </c>
      <c r="U57" s="32">
        <v>0.12041217400541776</v>
      </c>
    </row>
    <row r="58" spans="1:24">
      <c r="A58">
        <v>17166</v>
      </c>
      <c r="B58" t="s">
        <v>13</v>
      </c>
      <c r="C58" s="32" t="s">
        <v>31</v>
      </c>
      <c r="D58" t="s">
        <v>9</v>
      </c>
      <c r="E58">
        <v>2005</v>
      </c>
      <c r="F58">
        <v>9</v>
      </c>
      <c r="G58">
        <v>18136</v>
      </c>
      <c r="H58">
        <v>150616</v>
      </c>
      <c r="I58">
        <v>263259</v>
      </c>
      <c r="J58" s="5">
        <v>63</v>
      </c>
      <c r="K58" s="5">
        <v>111</v>
      </c>
      <c r="L58" s="2">
        <v>49200</v>
      </c>
      <c r="M58" s="32">
        <v>1.5269999999999999</v>
      </c>
      <c r="N58">
        <v>0.12041217400541776</v>
      </c>
      <c r="O58">
        <v>0.42330502623649535</v>
      </c>
      <c r="P58" s="32">
        <f t="shared" si="0"/>
        <v>-2.1168346382171825</v>
      </c>
      <c r="Q58" s="32">
        <f t="shared" si="1"/>
        <v>10.803648902480399</v>
      </c>
      <c r="R58">
        <v>0.57212099111521353</v>
      </c>
      <c r="S58">
        <v>-0.55840478704146468</v>
      </c>
      <c r="U58" s="32">
        <v>0.12232678108303453</v>
      </c>
    </row>
    <row r="59" spans="1:24">
      <c r="A59">
        <v>17166</v>
      </c>
      <c r="B59" t="s">
        <v>13</v>
      </c>
      <c r="C59" s="32" t="s">
        <v>31</v>
      </c>
      <c r="D59" t="s">
        <v>9</v>
      </c>
      <c r="E59">
        <v>2005</v>
      </c>
      <c r="F59">
        <v>10</v>
      </c>
      <c r="G59">
        <v>17263</v>
      </c>
      <c r="H59">
        <v>141122</v>
      </c>
      <c r="I59">
        <v>263788</v>
      </c>
      <c r="J59" s="5">
        <v>3</v>
      </c>
      <c r="K59" s="5">
        <v>271</v>
      </c>
      <c r="L59" s="2">
        <v>49200</v>
      </c>
      <c r="M59" s="32">
        <v>1.5269999999999999</v>
      </c>
      <c r="N59">
        <v>0.12232678108303453</v>
      </c>
      <c r="O59">
        <v>0.42330502623649535</v>
      </c>
      <c r="P59" s="32">
        <f t="shared" si="0"/>
        <v>-2.1010592816592437</v>
      </c>
      <c r="Q59" s="32">
        <f t="shared" si="1"/>
        <v>10.803648902480399</v>
      </c>
      <c r="R59">
        <v>0.53498263757259612</v>
      </c>
      <c r="S59">
        <v>-0.62552098574807924</v>
      </c>
      <c r="U59" s="32">
        <v>0.12838896328675747</v>
      </c>
    </row>
    <row r="60" spans="1:24">
      <c r="A60">
        <v>17166</v>
      </c>
      <c r="B60" t="s">
        <v>13</v>
      </c>
      <c r="C60" s="32" t="s">
        <v>31</v>
      </c>
      <c r="D60" t="s">
        <v>9</v>
      </c>
      <c r="E60">
        <v>2005</v>
      </c>
      <c r="F60">
        <v>11</v>
      </c>
      <c r="G60">
        <v>20325</v>
      </c>
      <c r="H60">
        <v>158308</v>
      </c>
      <c r="I60">
        <v>264528</v>
      </c>
      <c r="J60" s="5">
        <v>0</v>
      </c>
      <c r="K60" s="5">
        <v>568</v>
      </c>
      <c r="L60" s="2">
        <v>49200</v>
      </c>
      <c r="M60" s="32">
        <v>1.5269999999999999</v>
      </c>
      <c r="N60">
        <v>0.12838896328675747</v>
      </c>
      <c r="O60">
        <v>0.42330502623649535</v>
      </c>
      <c r="P60" s="32">
        <f t="shared" si="0"/>
        <v>-2.0526908471312915</v>
      </c>
      <c r="Q60" s="32">
        <f t="shared" si="1"/>
        <v>10.803648902480399</v>
      </c>
      <c r="R60">
        <v>0.59845460593963584</v>
      </c>
      <c r="S60">
        <v>-0.51340460324382331</v>
      </c>
      <c r="U60" s="32">
        <v>0.12680870137692427</v>
      </c>
    </row>
    <row r="61" spans="1:24">
      <c r="A61">
        <v>17166</v>
      </c>
      <c r="B61" t="s">
        <v>13</v>
      </c>
      <c r="C61" s="32" t="s">
        <v>31</v>
      </c>
      <c r="D61" t="s">
        <v>9</v>
      </c>
      <c r="E61">
        <v>2005</v>
      </c>
      <c r="F61">
        <v>12</v>
      </c>
      <c r="G61">
        <v>27159</v>
      </c>
      <c r="H61">
        <v>214173</v>
      </c>
      <c r="I61">
        <v>265785</v>
      </c>
      <c r="J61" s="5">
        <v>0</v>
      </c>
      <c r="K61" s="5">
        <v>808</v>
      </c>
      <c r="L61" s="2">
        <v>49200</v>
      </c>
      <c r="M61" s="32">
        <v>1.5269999999999999</v>
      </c>
      <c r="N61">
        <v>0.12680870137692427</v>
      </c>
      <c r="O61">
        <v>0.42330502623649535</v>
      </c>
      <c r="P61" s="32">
        <f t="shared" si="0"/>
        <v>-2.0650756164870456</v>
      </c>
      <c r="Q61" s="32">
        <f t="shared" si="1"/>
        <v>10.803648902480399</v>
      </c>
      <c r="R61">
        <v>0.80581296912918332</v>
      </c>
      <c r="S61">
        <v>-0.21590361162968397</v>
      </c>
      <c r="U61">
        <f>AVERAGE(U49:U60)</f>
        <v>0.11917617076324728</v>
      </c>
    </row>
    <row r="62" spans="1:24">
      <c r="A62">
        <v>19840</v>
      </c>
      <c r="B62" t="s">
        <v>14</v>
      </c>
      <c r="C62" s="32" t="s">
        <v>32</v>
      </c>
      <c r="D62" t="s">
        <v>9</v>
      </c>
      <c r="E62">
        <v>2005</v>
      </c>
      <c r="F62">
        <v>1</v>
      </c>
      <c r="G62">
        <v>2353</v>
      </c>
      <c r="H62">
        <v>26822</v>
      </c>
      <c r="I62">
        <v>15586</v>
      </c>
      <c r="J62" s="6">
        <v>0</v>
      </c>
      <c r="K62" s="6">
        <v>949</v>
      </c>
      <c r="L62" s="33">
        <v>38526.959999999999</v>
      </c>
      <c r="M62" s="32">
        <v>1.21</v>
      </c>
      <c r="N62">
        <v>8.7726493177242557E-2</v>
      </c>
      <c r="O62">
        <v>0.1906203596086497</v>
      </c>
      <c r="P62" s="32">
        <f t="shared" si="0"/>
        <v>-2.4335313365435232</v>
      </c>
      <c r="Q62" s="32">
        <f t="shared" si="1"/>
        <v>10.559113534948684</v>
      </c>
      <c r="R62">
        <v>1.7209033748235596</v>
      </c>
      <c r="S62">
        <v>0.54284937086737917</v>
      </c>
    </row>
    <row r="63" spans="1:24">
      <c r="A63">
        <v>19840</v>
      </c>
      <c r="B63" t="s">
        <v>14</v>
      </c>
      <c r="C63" s="32" t="s">
        <v>32</v>
      </c>
      <c r="D63" t="s">
        <v>9</v>
      </c>
      <c r="E63">
        <v>2005</v>
      </c>
      <c r="F63">
        <v>2</v>
      </c>
      <c r="G63">
        <v>2154</v>
      </c>
      <c r="H63">
        <v>22864</v>
      </c>
      <c r="I63">
        <v>15683</v>
      </c>
      <c r="J63" s="6">
        <v>0</v>
      </c>
      <c r="K63" s="6">
        <v>721</v>
      </c>
      <c r="L63" s="33">
        <v>38526.959999999999</v>
      </c>
      <c r="M63" s="32">
        <v>1.21</v>
      </c>
      <c r="N63">
        <v>9.4209237228831344E-2</v>
      </c>
      <c r="O63">
        <v>0.1906203596086497</v>
      </c>
      <c r="P63" s="32">
        <f t="shared" si="0"/>
        <v>-2.362237042453315</v>
      </c>
      <c r="Q63" s="32">
        <f t="shared" si="1"/>
        <v>10.559113534948684</v>
      </c>
      <c r="R63">
        <v>1.4578843333545877</v>
      </c>
      <c r="S63">
        <v>0.37698629803522393</v>
      </c>
    </row>
    <row r="64" spans="1:24">
      <c r="A64">
        <v>19840</v>
      </c>
      <c r="B64" t="s">
        <v>14</v>
      </c>
      <c r="C64" s="32" t="s">
        <v>32</v>
      </c>
      <c r="D64" t="s">
        <v>9</v>
      </c>
      <c r="E64">
        <v>2005</v>
      </c>
      <c r="F64">
        <v>3</v>
      </c>
      <c r="G64">
        <v>1675</v>
      </c>
      <c r="H64">
        <v>17133</v>
      </c>
      <c r="I64">
        <v>15751</v>
      </c>
      <c r="J64" s="6">
        <v>0</v>
      </c>
      <c r="K64" s="6">
        <v>645</v>
      </c>
      <c r="L64" s="33">
        <v>38526.959999999999</v>
      </c>
      <c r="M64" s="32">
        <v>1.21</v>
      </c>
      <c r="N64">
        <v>9.7764547948403668E-2</v>
      </c>
      <c r="O64">
        <v>0.1906203596086497</v>
      </c>
      <c r="P64" s="32">
        <f t="shared" si="0"/>
        <v>-2.3251932630738059</v>
      </c>
      <c r="Q64" s="32">
        <f t="shared" si="1"/>
        <v>10.559113534948684</v>
      </c>
      <c r="R64">
        <v>1.087740460923116</v>
      </c>
      <c r="S64">
        <v>8.4102573031237221E-2</v>
      </c>
    </row>
    <row r="65" spans="1:19">
      <c r="A65">
        <v>19840</v>
      </c>
      <c r="B65" t="s">
        <v>14</v>
      </c>
      <c r="C65" s="32" t="s">
        <v>32</v>
      </c>
      <c r="D65" t="s">
        <v>9</v>
      </c>
      <c r="E65">
        <v>2005</v>
      </c>
      <c r="F65">
        <v>4</v>
      </c>
      <c r="G65">
        <v>1708</v>
      </c>
      <c r="H65">
        <v>17493</v>
      </c>
      <c r="I65">
        <v>15859</v>
      </c>
      <c r="J65" s="6">
        <v>0</v>
      </c>
      <c r="K65" s="6">
        <v>489</v>
      </c>
      <c r="L65" s="33">
        <v>38526.959999999999</v>
      </c>
      <c r="M65" s="32">
        <v>1.21</v>
      </c>
      <c r="N65">
        <v>9.7639055622248894E-2</v>
      </c>
      <c r="O65">
        <v>0.1906203596086497</v>
      </c>
      <c r="P65" s="32">
        <f t="shared" si="0"/>
        <v>-2.3264777055417505</v>
      </c>
      <c r="Q65" s="32">
        <f t="shared" si="1"/>
        <v>10.559113534948684</v>
      </c>
      <c r="R65">
        <v>1.1030329781196797</v>
      </c>
      <c r="S65">
        <v>9.8063638391664848E-2</v>
      </c>
    </row>
    <row r="66" spans="1:19">
      <c r="A66">
        <v>19840</v>
      </c>
      <c r="B66" t="s">
        <v>14</v>
      </c>
      <c r="C66" s="32" t="s">
        <v>32</v>
      </c>
      <c r="D66" t="s">
        <v>9</v>
      </c>
      <c r="E66">
        <v>2005</v>
      </c>
      <c r="F66">
        <v>5</v>
      </c>
      <c r="G66">
        <v>1063</v>
      </c>
      <c r="H66">
        <v>10683</v>
      </c>
      <c r="I66">
        <v>15901</v>
      </c>
      <c r="J66" s="6">
        <v>37</v>
      </c>
      <c r="K66" s="6">
        <v>194</v>
      </c>
      <c r="L66" s="33">
        <v>38526.959999999999</v>
      </c>
      <c r="M66" s="32">
        <v>1.21</v>
      </c>
      <c r="N66">
        <v>9.950388467658898E-2</v>
      </c>
      <c r="O66">
        <v>0.1906203596086497</v>
      </c>
      <c r="P66" s="32">
        <f t="shared" si="0"/>
        <v>-2.3075585936039396</v>
      </c>
      <c r="Q66" s="32">
        <f t="shared" si="1"/>
        <v>10.559113534948684</v>
      </c>
      <c r="R66">
        <v>0.67184453807936606</v>
      </c>
      <c r="S66">
        <v>-0.39772830736650955</v>
      </c>
    </row>
    <row r="67" spans="1:19">
      <c r="A67">
        <v>19840</v>
      </c>
      <c r="B67" t="s">
        <v>14</v>
      </c>
      <c r="C67" s="32" t="s">
        <v>32</v>
      </c>
      <c r="D67" t="s">
        <v>9</v>
      </c>
      <c r="E67">
        <v>2005</v>
      </c>
      <c r="F67">
        <v>6</v>
      </c>
      <c r="G67">
        <v>1898</v>
      </c>
      <c r="H67">
        <v>19781</v>
      </c>
      <c r="I67">
        <v>15842</v>
      </c>
      <c r="J67" s="6">
        <v>69</v>
      </c>
      <c r="K67" s="6">
        <v>49</v>
      </c>
      <c r="L67" s="33">
        <v>38526.959999999999</v>
      </c>
      <c r="M67" s="32">
        <v>1.21</v>
      </c>
      <c r="N67">
        <v>9.5950659723977552E-2</v>
      </c>
      <c r="O67">
        <v>0.1906203596086497</v>
      </c>
      <c r="P67" s="32">
        <f t="shared" ref="P67:P85" si="2">LN(N67)</f>
        <v>-2.3439211808462028</v>
      </c>
      <c r="Q67" s="32">
        <f t="shared" ref="Q67:Q85" si="3">LN(L67)</f>
        <v>10.559113534948684</v>
      </c>
      <c r="R67">
        <v>1.2486428481252367</v>
      </c>
      <c r="S67">
        <v>0.2220572399918509</v>
      </c>
    </row>
    <row r="68" spans="1:19">
      <c r="A68">
        <v>19840</v>
      </c>
      <c r="B68" t="s">
        <v>14</v>
      </c>
      <c r="C68" s="32" t="s">
        <v>32</v>
      </c>
      <c r="D68" t="s">
        <v>9</v>
      </c>
      <c r="E68">
        <v>2005</v>
      </c>
      <c r="F68">
        <v>7</v>
      </c>
      <c r="G68">
        <v>2326</v>
      </c>
      <c r="H68">
        <v>24850</v>
      </c>
      <c r="I68">
        <v>16104</v>
      </c>
      <c r="J68" s="6">
        <v>415</v>
      </c>
      <c r="K68" s="6">
        <v>0</v>
      </c>
      <c r="L68" s="33">
        <v>38526.959999999999</v>
      </c>
      <c r="M68" s="32">
        <v>1.21</v>
      </c>
      <c r="N68">
        <v>9.3601609657947685E-2</v>
      </c>
      <c r="O68">
        <v>0.1906203596086497</v>
      </c>
      <c r="P68" s="32">
        <f t="shared" si="2"/>
        <v>-2.368707698446165</v>
      </c>
      <c r="Q68" s="32">
        <f t="shared" si="3"/>
        <v>10.559113534948684</v>
      </c>
      <c r="R68">
        <v>1.5430948832588178</v>
      </c>
      <c r="S68">
        <v>0.43379006420514749</v>
      </c>
    </row>
    <row r="69" spans="1:19">
      <c r="A69">
        <v>19840</v>
      </c>
      <c r="B69" t="s">
        <v>14</v>
      </c>
      <c r="C69" s="32" t="s">
        <v>32</v>
      </c>
      <c r="D69" t="s">
        <v>9</v>
      </c>
      <c r="E69">
        <v>2005</v>
      </c>
      <c r="F69">
        <v>8</v>
      </c>
      <c r="G69">
        <v>2856</v>
      </c>
      <c r="H69">
        <v>29129</v>
      </c>
      <c r="I69">
        <v>16251</v>
      </c>
      <c r="J69" s="6">
        <v>246</v>
      </c>
      <c r="K69" s="6">
        <v>3</v>
      </c>
      <c r="L69" s="33">
        <v>38526.959999999999</v>
      </c>
      <c r="M69" s="32">
        <v>1.21</v>
      </c>
      <c r="N69">
        <v>9.8046620206666907E-2</v>
      </c>
      <c r="O69">
        <v>0.1906203596086497</v>
      </c>
      <c r="P69" s="32">
        <f t="shared" si="2"/>
        <v>-2.3223121970341758</v>
      </c>
      <c r="Q69" s="32">
        <f t="shared" si="3"/>
        <v>10.559113534948684</v>
      </c>
      <c r="R69">
        <v>1.7924435419358808</v>
      </c>
      <c r="S69">
        <v>0.58357979616764244</v>
      </c>
    </row>
    <row r="70" spans="1:19">
      <c r="A70">
        <v>19840</v>
      </c>
      <c r="B70" t="s">
        <v>14</v>
      </c>
      <c r="C70" s="32" t="s">
        <v>32</v>
      </c>
      <c r="D70" t="s">
        <v>9</v>
      </c>
      <c r="E70">
        <v>2005</v>
      </c>
      <c r="F70">
        <v>9</v>
      </c>
      <c r="G70">
        <v>2312</v>
      </c>
      <c r="H70">
        <v>23035</v>
      </c>
      <c r="I70">
        <v>16335</v>
      </c>
      <c r="J70" s="6">
        <v>17</v>
      </c>
      <c r="K70" s="6">
        <v>143</v>
      </c>
      <c r="L70" s="33">
        <v>38526.959999999999</v>
      </c>
      <c r="M70" s="32">
        <v>1.21</v>
      </c>
      <c r="N70">
        <v>0.10036900369003691</v>
      </c>
      <c r="O70">
        <v>0.1906203596086497</v>
      </c>
      <c r="P70" s="32">
        <f t="shared" si="2"/>
        <v>-2.2989018475777492</v>
      </c>
      <c r="Q70" s="32">
        <f t="shared" si="3"/>
        <v>10.559113534948684</v>
      </c>
      <c r="R70">
        <v>1.4101622283440465</v>
      </c>
      <c r="S70">
        <v>0.34370475333484679</v>
      </c>
    </row>
    <row r="71" spans="1:19">
      <c r="A71">
        <v>19840</v>
      </c>
      <c r="B71" t="s">
        <v>14</v>
      </c>
      <c r="C71" s="32" t="s">
        <v>32</v>
      </c>
      <c r="D71" t="s">
        <v>9</v>
      </c>
      <c r="E71">
        <v>2005</v>
      </c>
      <c r="F71">
        <v>10</v>
      </c>
      <c r="G71">
        <v>1624</v>
      </c>
      <c r="H71">
        <v>15326</v>
      </c>
      <c r="I71">
        <v>16416</v>
      </c>
      <c r="J71" s="6">
        <v>0</v>
      </c>
      <c r="K71" s="6">
        <v>379</v>
      </c>
      <c r="L71" s="33">
        <v>38526.959999999999</v>
      </c>
      <c r="M71" s="32">
        <v>1.21</v>
      </c>
      <c r="N71">
        <v>0.10596372177998173</v>
      </c>
      <c r="O71">
        <v>0.1906203596086497</v>
      </c>
      <c r="P71" s="32">
        <f t="shared" si="2"/>
        <v>-2.2446584908087264</v>
      </c>
      <c r="Q71" s="32">
        <f t="shared" si="3"/>
        <v>10.559113534948684</v>
      </c>
      <c r="R71">
        <v>0.93360136452241715</v>
      </c>
      <c r="S71">
        <v>-6.870573644014645E-2</v>
      </c>
    </row>
    <row r="72" spans="1:19">
      <c r="A72">
        <v>19840</v>
      </c>
      <c r="B72" t="s">
        <v>14</v>
      </c>
      <c r="C72" s="32" t="s">
        <v>32</v>
      </c>
      <c r="D72" t="s">
        <v>9</v>
      </c>
      <c r="E72">
        <v>2005</v>
      </c>
      <c r="F72">
        <v>11</v>
      </c>
      <c r="G72">
        <v>1620</v>
      </c>
      <c r="H72">
        <v>15259</v>
      </c>
      <c r="I72">
        <v>16583</v>
      </c>
      <c r="J72" s="6">
        <v>0</v>
      </c>
      <c r="K72" s="6">
        <v>664</v>
      </c>
      <c r="L72" s="33">
        <v>38526.959999999999</v>
      </c>
      <c r="M72" s="32">
        <v>1.21</v>
      </c>
      <c r="N72">
        <v>0.10616685234943313</v>
      </c>
      <c r="O72">
        <v>0.1906203596086497</v>
      </c>
      <c r="P72" s="32">
        <f t="shared" si="2"/>
        <v>-2.2427433436653059</v>
      </c>
      <c r="Q72" s="32">
        <f t="shared" si="3"/>
        <v>10.559113534948684</v>
      </c>
      <c r="R72">
        <v>0.92015919917988298</v>
      </c>
      <c r="S72">
        <v>-8.3208581322363209E-2</v>
      </c>
    </row>
    <row r="73" spans="1:19">
      <c r="A73">
        <v>19840</v>
      </c>
      <c r="B73" t="s">
        <v>14</v>
      </c>
      <c r="C73" s="32" t="s">
        <v>32</v>
      </c>
      <c r="D73" t="s">
        <v>9</v>
      </c>
      <c r="E73">
        <v>2005</v>
      </c>
      <c r="F73">
        <v>12</v>
      </c>
      <c r="G73">
        <v>2449</v>
      </c>
      <c r="H73">
        <v>24515</v>
      </c>
      <c r="I73">
        <v>16592</v>
      </c>
      <c r="J73" s="6">
        <v>0</v>
      </c>
      <c r="K73" s="6">
        <v>1010</v>
      </c>
      <c r="L73" s="33">
        <v>38526.959999999999</v>
      </c>
      <c r="M73" s="32">
        <v>1.21</v>
      </c>
      <c r="N73">
        <v>9.9898021619416688E-2</v>
      </c>
      <c r="O73">
        <v>0.1906203596086497</v>
      </c>
      <c r="P73" s="32">
        <f t="shared" si="2"/>
        <v>-2.303605397133166</v>
      </c>
      <c r="Q73" s="32">
        <f t="shared" si="3"/>
        <v>10.559113534948684</v>
      </c>
      <c r="R73">
        <v>1.4775192864030857</v>
      </c>
      <c r="S73">
        <v>0.39036452361602497</v>
      </c>
    </row>
    <row r="74" spans="1:19">
      <c r="A74">
        <v>20332</v>
      </c>
      <c r="B74" t="s">
        <v>15</v>
      </c>
      <c r="C74" s="32" t="s">
        <v>33</v>
      </c>
      <c r="D74" t="s">
        <v>9</v>
      </c>
      <c r="E74">
        <v>2005</v>
      </c>
      <c r="F74">
        <v>1</v>
      </c>
      <c r="G74">
        <v>447</v>
      </c>
      <c r="H74">
        <v>5742</v>
      </c>
      <c r="I74">
        <v>4015</v>
      </c>
      <c r="J74" s="7">
        <v>0</v>
      </c>
      <c r="K74" s="7">
        <v>1081</v>
      </c>
      <c r="L74" s="33">
        <v>45240</v>
      </c>
      <c r="M74" s="32">
        <v>1.5269999999999999</v>
      </c>
      <c r="N74">
        <v>7.7847439916405428E-2</v>
      </c>
      <c r="O74">
        <v>0.42330502623649535</v>
      </c>
      <c r="P74" s="32">
        <f t="shared" si="2"/>
        <v>-2.5530042660674406</v>
      </c>
      <c r="Q74" s="32">
        <f t="shared" si="3"/>
        <v>10.719736930230058</v>
      </c>
      <c r="R74">
        <v>1.4301369863013698</v>
      </c>
      <c r="S74">
        <v>0.35777023430014715</v>
      </c>
    </row>
    <row r="75" spans="1:19">
      <c r="A75">
        <v>20332</v>
      </c>
      <c r="B75" t="s">
        <v>15</v>
      </c>
      <c r="C75" s="32" t="s">
        <v>33</v>
      </c>
      <c r="D75" t="s">
        <v>9</v>
      </c>
      <c r="E75">
        <v>2005</v>
      </c>
      <c r="F75">
        <v>2</v>
      </c>
      <c r="G75">
        <v>396</v>
      </c>
      <c r="H75">
        <v>5237</v>
      </c>
      <c r="I75">
        <v>4009</v>
      </c>
      <c r="J75" s="7">
        <v>0</v>
      </c>
      <c r="K75" s="7">
        <v>972</v>
      </c>
      <c r="L75" s="33">
        <v>45240</v>
      </c>
      <c r="M75" s="32">
        <v>1.5269999999999999</v>
      </c>
      <c r="N75">
        <v>7.5615810578575526E-2</v>
      </c>
      <c r="O75">
        <v>0.42330502623649535</v>
      </c>
      <c r="P75" s="32">
        <f t="shared" si="2"/>
        <v>-2.5820898830250072</v>
      </c>
      <c r="Q75" s="32">
        <f t="shared" si="3"/>
        <v>10.719736930230058</v>
      </c>
      <c r="R75">
        <v>1.3063108006984285</v>
      </c>
      <c r="S75">
        <v>0.2672069816369807</v>
      </c>
    </row>
    <row r="76" spans="1:19">
      <c r="A76">
        <v>20332</v>
      </c>
      <c r="B76" t="s">
        <v>15</v>
      </c>
      <c r="C76" s="32" t="s">
        <v>33</v>
      </c>
      <c r="D76" t="s">
        <v>9</v>
      </c>
      <c r="E76">
        <v>2005</v>
      </c>
      <c r="F76">
        <v>3</v>
      </c>
      <c r="G76">
        <v>355</v>
      </c>
      <c r="H76">
        <v>4603</v>
      </c>
      <c r="I76">
        <v>4010</v>
      </c>
      <c r="J76" s="7">
        <v>0</v>
      </c>
      <c r="K76" s="7">
        <v>925</v>
      </c>
      <c r="L76" s="33">
        <v>45240</v>
      </c>
      <c r="M76" s="32">
        <v>1.5269999999999999</v>
      </c>
      <c r="N76">
        <v>7.7123615033673695E-2</v>
      </c>
      <c r="O76">
        <v>0.42330502623649535</v>
      </c>
      <c r="P76" s="32">
        <f t="shared" si="2"/>
        <v>-2.5623457543418255</v>
      </c>
      <c r="Q76" s="32">
        <f t="shared" si="3"/>
        <v>10.719736930230058</v>
      </c>
      <c r="R76">
        <v>1.1478802992518704</v>
      </c>
      <c r="S76">
        <v>0.13791702351662663</v>
      </c>
    </row>
    <row r="77" spans="1:19">
      <c r="A77">
        <v>20332</v>
      </c>
      <c r="B77" t="s">
        <v>15</v>
      </c>
      <c r="C77" s="32" t="s">
        <v>33</v>
      </c>
      <c r="D77" t="s">
        <v>9</v>
      </c>
      <c r="E77">
        <v>2005</v>
      </c>
      <c r="F77">
        <v>4</v>
      </c>
      <c r="G77">
        <v>346</v>
      </c>
      <c r="H77">
        <v>4132</v>
      </c>
      <c r="I77">
        <v>4031</v>
      </c>
      <c r="J77" s="7">
        <v>0</v>
      </c>
      <c r="K77" s="7">
        <v>708</v>
      </c>
      <c r="L77" s="33">
        <v>45240</v>
      </c>
      <c r="M77" s="32">
        <v>1.5269999999999999</v>
      </c>
      <c r="N77">
        <v>8.3736689254598262E-2</v>
      </c>
      <c r="O77">
        <v>0.42330502623649535</v>
      </c>
      <c r="P77" s="32">
        <f t="shared" si="2"/>
        <v>-2.4800780551818047</v>
      </c>
      <c r="Q77" s="32">
        <f t="shared" si="3"/>
        <v>10.719736930230058</v>
      </c>
      <c r="R77">
        <v>1.0250558174150335</v>
      </c>
      <c r="S77">
        <v>2.4747067122363377E-2</v>
      </c>
    </row>
    <row r="78" spans="1:19">
      <c r="A78">
        <v>20332</v>
      </c>
      <c r="B78" t="s">
        <v>15</v>
      </c>
      <c r="C78" s="32" t="s">
        <v>33</v>
      </c>
      <c r="D78" t="s">
        <v>9</v>
      </c>
      <c r="E78">
        <v>2005</v>
      </c>
      <c r="F78">
        <v>5</v>
      </c>
      <c r="G78">
        <v>260</v>
      </c>
      <c r="H78">
        <v>3155</v>
      </c>
      <c r="I78">
        <v>4042</v>
      </c>
      <c r="J78" s="7">
        <v>0</v>
      </c>
      <c r="K78" s="7">
        <v>449</v>
      </c>
      <c r="L78" s="33">
        <v>45240</v>
      </c>
      <c r="M78" s="32">
        <v>1.5269999999999999</v>
      </c>
      <c r="N78">
        <v>8.2408874801901746E-2</v>
      </c>
      <c r="O78">
        <v>0.42330502623649535</v>
      </c>
      <c r="P78" s="32">
        <f t="shared" si="2"/>
        <v>-2.4960621439597857</v>
      </c>
      <c r="Q78" s="32">
        <f t="shared" si="3"/>
        <v>10.719736930230058</v>
      </c>
      <c r="R78">
        <v>0.78055418109846608</v>
      </c>
      <c r="S78">
        <v>-0.24775112298825283</v>
      </c>
    </row>
    <row r="79" spans="1:19">
      <c r="A79">
        <v>20332</v>
      </c>
      <c r="B79" t="s">
        <v>15</v>
      </c>
      <c r="C79" s="32" t="s">
        <v>33</v>
      </c>
      <c r="D79" t="s">
        <v>9</v>
      </c>
      <c r="E79">
        <v>2005</v>
      </c>
      <c r="F79">
        <v>6</v>
      </c>
      <c r="G79">
        <v>231</v>
      </c>
      <c r="H79">
        <v>2708</v>
      </c>
      <c r="I79">
        <v>4048</v>
      </c>
      <c r="J79" s="7">
        <v>9</v>
      </c>
      <c r="K79" s="7">
        <v>268</v>
      </c>
      <c r="L79" s="33">
        <v>45240</v>
      </c>
      <c r="M79" s="32">
        <v>1.5269999999999999</v>
      </c>
      <c r="N79">
        <v>8.5302806499261447E-2</v>
      </c>
      <c r="O79">
        <v>0.42330502623649535</v>
      </c>
      <c r="P79" s="32">
        <f t="shared" si="2"/>
        <v>-2.4615479235103721</v>
      </c>
      <c r="Q79" s="32">
        <f t="shared" si="3"/>
        <v>10.719736930230058</v>
      </c>
      <c r="R79">
        <v>0.6689723320158103</v>
      </c>
      <c r="S79">
        <v>-0.40201257693513581</v>
      </c>
    </row>
    <row r="80" spans="1:19">
      <c r="A80">
        <v>20332</v>
      </c>
      <c r="B80" t="s">
        <v>15</v>
      </c>
      <c r="C80" s="32" t="s">
        <v>33</v>
      </c>
      <c r="D80" t="s">
        <v>9</v>
      </c>
      <c r="E80">
        <v>2005</v>
      </c>
      <c r="F80">
        <v>7</v>
      </c>
      <c r="G80">
        <v>233</v>
      </c>
      <c r="H80">
        <v>2747</v>
      </c>
      <c r="I80">
        <v>4062</v>
      </c>
      <c r="J80" s="7">
        <v>223</v>
      </c>
      <c r="K80" s="7">
        <v>0</v>
      </c>
      <c r="L80" s="33">
        <v>45240</v>
      </c>
      <c r="M80" s="32">
        <v>1.5269999999999999</v>
      </c>
      <c r="N80">
        <v>8.4819803421914822E-2</v>
      </c>
      <c r="O80">
        <v>0.42330502623649535</v>
      </c>
      <c r="P80" s="32">
        <f t="shared" si="2"/>
        <v>-2.4672262325295731</v>
      </c>
      <c r="Q80" s="32">
        <f t="shared" si="3"/>
        <v>10.719736930230058</v>
      </c>
      <c r="R80">
        <v>0.6762678483505663</v>
      </c>
      <c r="S80">
        <v>-0.391166056045056</v>
      </c>
    </row>
    <row r="81" spans="1:19">
      <c r="A81">
        <v>20332</v>
      </c>
      <c r="B81" t="s">
        <v>15</v>
      </c>
      <c r="C81" s="32" t="s">
        <v>33</v>
      </c>
      <c r="D81" t="s">
        <v>9</v>
      </c>
      <c r="E81">
        <v>2005</v>
      </c>
      <c r="F81">
        <v>8</v>
      </c>
      <c r="G81">
        <v>246</v>
      </c>
      <c r="H81">
        <v>2933</v>
      </c>
      <c r="I81">
        <v>4062</v>
      </c>
      <c r="J81" s="7">
        <v>66</v>
      </c>
      <c r="K81" s="7">
        <v>25</v>
      </c>
      <c r="L81" s="33">
        <v>45240</v>
      </c>
      <c r="M81" s="32">
        <v>1.5269999999999999</v>
      </c>
      <c r="N81">
        <v>8.3873167405386972E-2</v>
      </c>
      <c r="O81">
        <v>0.42330502623649535</v>
      </c>
      <c r="P81" s="32">
        <f t="shared" si="2"/>
        <v>-2.4784495330450884</v>
      </c>
      <c r="Q81" s="32">
        <f t="shared" si="3"/>
        <v>10.719736930230058</v>
      </c>
      <c r="R81">
        <v>0.72205809945839472</v>
      </c>
      <c r="S81">
        <v>-0.32564967316287918</v>
      </c>
    </row>
    <row r="82" spans="1:19">
      <c r="A82">
        <v>20332</v>
      </c>
      <c r="B82" t="s">
        <v>15</v>
      </c>
      <c r="C82" s="32" t="s">
        <v>33</v>
      </c>
      <c r="D82" t="s">
        <v>9</v>
      </c>
      <c r="E82">
        <v>2005</v>
      </c>
      <c r="F82">
        <v>9</v>
      </c>
      <c r="G82">
        <v>245</v>
      </c>
      <c r="H82">
        <v>2923</v>
      </c>
      <c r="I82">
        <v>4039</v>
      </c>
      <c r="J82" s="7">
        <v>1</v>
      </c>
      <c r="K82" s="7">
        <v>265</v>
      </c>
      <c r="L82" s="33">
        <v>45240</v>
      </c>
      <c r="M82" s="32">
        <v>1.5269999999999999</v>
      </c>
      <c r="N82">
        <v>8.3817995210400287E-2</v>
      </c>
      <c r="O82">
        <v>0.42330502623649535</v>
      </c>
      <c r="P82" s="32">
        <f t="shared" si="2"/>
        <v>-2.4791075545665189</v>
      </c>
      <c r="Q82" s="32">
        <f t="shared" si="3"/>
        <v>10.719736930230058</v>
      </c>
      <c r="R82">
        <v>0.72369398365932158</v>
      </c>
      <c r="S82">
        <v>-0.32338665045216697</v>
      </c>
    </row>
    <row r="83" spans="1:19">
      <c r="A83">
        <v>20332</v>
      </c>
      <c r="B83" t="s">
        <v>15</v>
      </c>
      <c r="C83" s="32" t="s">
        <v>33</v>
      </c>
      <c r="D83" t="s">
        <v>9</v>
      </c>
      <c r="E83">
        <v>2005</v>
      </c>
      <c r="F83">
        <v>10</v>
      </c>
      <c r="G83">
        <v>278</v>
      </c>
      <c r="H83">
        <v>2946</v>
      </c>
      <c r="I83">
        <v>4037</v>
      </c>
      <c r="J83" s="7">
        <v>0</v>
      </c>
      <c r="K83" s="7">
        <v>485</v>
      </c>
      <c r="L83" s="33">
        <v>45240</v>
      </c>
      <c r="M83" s="32">
        <v>1.5269999999999999</v>
      </c>
      <c r="N83">
        <v>9.4365241004752201E-2</v>
      </c>
      <c r="O83">
        <v>0.42330502623649535</v>
      </c>
      <c r="P83" s="32">
        <f t="shared" si="2"/>
        <v>-2.3605824833319384</v>
      </c>
      <c r="Q83" s="32">
        <f t="shared" si="3"/>
        <v>10.719736930230058</v>
      </c>
      <c r="R83">
        <v>0.72974981421847895</v>
      </c>
      <c r="S83">
        <v>-0.31505352383036539</v>
      </c>
    </row>
    <row r="84" spans="1:19">
      <c r="A84">
        <v>20332</v>
      </c>
      <c r="B84" t="s">
        <v>15</v>
      </c>
      <c r="C84" s="32" t="s">
        <v>33</v>
      </c>
      <c r="D84" t="s">
        <v>9</v>
      </c>
      <c r="E84">
        <v>2005</v>
      </c>
      <c r="F84">
        <v>11</v>
      </c>
      <c r="G84">
        <v>267</v>
      </c>
      <c r="H84">
        <v>3269</v>
      </c>
      <c r="I84">
        <v>4036</v>
      </c>
      <c r="J84" s="7">
        <v>0</v>
      </c>
      <c r="K84" s="7">
        <v>719</v>
      </c>
      <c r="L84" s="33">
        <v>45240</v>
      </c>
      <c r="M84" s="32">
        <v>1.5269999999999999</v>
      </c>
      <c r="N84">
        <v>8.1676353624961756E-2</v>
      </c>
      <c r="O84">
        <v>0.42330502623649535</v>
      </c>
      <c r="P84" s="32">
        <f t="shared" si="2"/>
        <v>-2.5049907483239613</v>
      </c>
      <c r="Q84" s="32">
        <f t="shared" si="3"/>
        <v>10.719736930230058</v>
      </c>
      <c r="R84">
        <v>0.80996035678889977</v>
      </c>
      <c r="S84">
        <v>-0.21076997474928913</v>
      </c>
    </row>
    <row r="85" spans="1:19">
      <c r="A85">
        <v>20332</v>
      </c>
      <c r="B85" t="s">
        <v>15</v>
      </c>
      <c r="C85" s="32" t="s">
        <v>33</v>
      </c>
      <c r="D85" t="s">
        <v>9</v>
      </c>
      <c r="E85">
        <v>2005</v>
      </c>
      <c r="F85">
        <v>12</v>
      </c>
      <c r="G85">
        <v>369</v>
      </c>
      <c r="H85">
        <v>4829</v>
      </c>
      <c r="I85">
        <v>4046</v>
      </c>
      <c r="J85" s="7">
        <v>0</v>
      </c>
      <c r="K85" s="7">
        <v>1026</v>
      </c>
      <c r="L85" s="33">
        <v>45240</v>
      </c>
      <c r="M85" s="32">
        <v>1.5269999999999999</v>
      </c>
      <c r="N85">
        <v>7.641333609442949E-2</v>
      </c>
      <c r="O85">
        <v>0.42330502623649535</v>
      </c>
      <c r="P85" s="32">
        <f t="shared" si="2"/>
        <v>-2.5715980418330147</v>
      </c>
      <c r="Q85" s="32">
        <f t="shared" si="3"/>
        <v>10.719736930230058</v>
      </c>
      <c r="R85">
        <v>1.1935244686109738</v>
      </c>
      <c r="S85">
        <v>0.17691066814585116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5"/>
  <sheetViews>
    <sheetView topLeftCell="B1" zoomScale="80" zoomScaleNormal="80" workbookViewId="0">
      <selection activeCell="K2" sqref="K2:K13"/>
    </sheetView>
  </sheetViews>
  <sheetFormatPr defaultRowHeight="12.75"/>
  <cols>
    <col min="2" max="2" width="29" customWidth="1"/>
    <col min="3" max="3" width="9.140625" style="32"/>
    <col min="7" max="7" width="9.140625" style="32"/>
    <col min="8" max="8" width="11" customWidth="1"/>
    <col min="16" max="16" width="9.85546875" customWidth="1"/>
  </cols>
  <sheetData>
    <row r="1" spans="1:19">
      <c r="A1" t="s">
        <v>16</v>
      </c>
      <c r="B1" t="s">
        <v>1</v>
      </c>
      <c r="C1" s="32" t="s">
        <v>26</v>
      </c>
      <c r="D1" t="s">
        <v>17</v>
      </c>
      <c r="E1" t="s">
        <v>3</v>
      </c>
      <c r="F1" t="s">
        <v>4</v>
      </c>
      <c r="G1" s="32" t="s">
        <v>5</v>
      </c>
      <c r="H1" t="s">
        <v>6</v>
      </c>
      <c r="I1" t="s">
        <v>7</v>
      </c>
      <c r="J1" s="32" t="s">
        <v>41</v>
      </c>
      <c r="K1" s="32" t="s">
        <v>42</v>
      </c>
      <c r="L1" s="32" t="s">
        <v>38</v>
      </c>
      <c r="M1" s="32" t="s">
        <v>24</v>
      </c>
      <c r="N1" s="32" t="s">
        <v>25</v>
      </c>
      <c r="O1" t="s">
        <v>35</v>
      </c>
      <c r="P1" t="s">
        <v>40</v>
      </c>
      <c r="Q1" t="s">
        <v>37</v>
      </c>
      <c r="R1" t="s">
        <v>36</v>
      </c>
      <c r="S1" t="s">
        <v>39</v>
      </c>
    </row>
    <row r="2" spans="1:19">
      <c r="A2">
        <v>2008</v>
      </c>
      <c r="B2" t="s">
        <v>8</v>
      </c>
      <c r="C2" s="32" t="s">
        <v>27</v>
      </c>
      <c r="D2" t="s">
        <v>9</v>
      </c>
      <c r="E2">
        <v>2006</v>
      </c>
      <c r="F2">
        <v>1</v>
      </c>
      <c r="G2" s="32">
        <v>844</v>
      </c>
      <c r="H2">
        <v>6613</v>
      </c>
      <c r="I2">
        <v>6705</v>
      </c>
      <c r="J2" s="8">
        <v>0</v>
      </c>
      <c r="K2" s="8">
        <v>513</v>
      </c>
      <c r="L2">
        <v>51799.284</v>
      </c>
      <c r="M2">
        <v>3.9990900000000003E-2</v>
      </c>
      <c r="N2">
        <v>1.2031480000000001</v>
      </c>
      <c r="O2">
        <v>0.9862788963460104</v>
      </c>
      <c r="P2">
        <v>-1.3816108041116562E-2</v>
      </c>
      <c r="Q2">
        <v>-3.2191033507502511</v>
      </c>
      <c r="R2">
        <v>0.18494145519440369</v>
      </c>
      <c r="S2">
        <v>10.855131605758222</v>
      </c>
    </row>
    <row r="3" spans="1:19">
      <c r="A3">
        <v>2008</v>
      </c>
      <c r="B3" t="s">
        <v>8</v>
      </c>
      <c r="C3" s="32" t="s">
        <v>27</v>
      </c>
      <c r="D3" t="s">
        <v>9</v>
      </c>
      <c r="E3">
        <v>2006</v>
      </c>
      <c r="F3">
        <v>2</v>
      </c>
      <c r="G3" s="32">
        <v>400</v>
      </c>
      <c r="H3">
        <v>8393</v>
      </c>
      <c r="I3">
        <v>6696</v>
      </c>
      <c r="J3" s="8">
        <v>0</v>
      </c>
      <c r="K3" s="8">
        <v>371</v>
      </c>
      <c r="L3">
        <v>51799.284</v>
      </c>
      <c r="M3">
        <v>4.6167899999999998E-2</v>
      </c>
      <c r="N3">
        <v>1.2031480000000001</v>
      </c>
      <c r="O3">
        <v>1.2534348864994027</v>
      </c>
      <c r="P3">
        <v>0.22588769191351638</v>
      </c>
      <c r="Q3">
        <v>-3.0754705275782435</v>
      </c>
      <c r="R3">
        <v>0.18494145519440369</v>
      </c>
      <c r="S3">
        <v>10.855131605758222</v>
      </c>
    </row>
    <row r="4" spans="1:19">
      <c r="A4">
        <v>2008</v>
      </c>
      <c r="B4" t="s">
        <v>8</v>
      </c>
      <c r="C4" s="32" t="s">
        <v>27</v>
      </c>
      <c r="D4" t="s">
        <v>9</v>
      </c>
      <c r="E4">
        <v>2006</v>
      </c>
      <c r="F4">
        <v>3</v>
      </c>
      <c r="G4" s="32">
        <v>442</v>
      </c>
      <c r="H4">
        <v>6585</v>
      </c>
      <c r="I4">
        <v>6708</v>
      </c>
      <c r="J4" s="8">
        <v>0</v>
      </c>
      <c r="K4" s="8">
        <v>356</v>
      </c>
      <c r="L4">
        <v>51799.284</v>
      </c>
      <c r="M4">
        <v>4.5603999999999999E-2</v>
      </c>
      <c r="N4">
        <v>1.2031480000000001</v>
      </c>
      <c r="O4">
        <v>0.98166368515205726</v>
      </c>
      <c r="P4">
        <v>-1.8506508765718035E-2</v>
      </c>
      <c r="Q4">
        <v>-3.0877598470106635</v>
      </c>
      <c r="R4">
        <v>0.18494145519440369</v>
      </c>
      <c r="S4">
        <v>10.855131605758222</v>
      </c>
    </row>
    <row r="5" spans="1:19">
      <c r="A5">
        <v>2008</v>
      </c>
      <c r="B5" t="s">
        <v>8</v>
      </c>
      <c r="C5" s="32" t="s">
        <v>27</v>
      </c>
      <c r="D5" t="s">
        <v>9</v>
      </c>
      <c r="E5">
        <v>2006</v>
      </c>
      <c r="F5">
        <v>4</v>
      </c>
      <c r="G5" s="32">
        <v>844</v>
      </c>
      <c r="H5">
        <v>6127</v>
      </c>
      <c r="I5">
        <v>6670</v>
      </c>
      <c r="J5" s="8">
        <v>59</v>
      </c>
      <c r="K5" s="8">
        <v>83</v>
      </c>
      <c r="L5">
        <v>51799.284</v>
      </c>
      <c r="M5">
        <v>4.5692799999999999E-2</v>
      </c>
      <c r="N5">
        <v>1.2031480000000001</v>
      </c>
      <c r="O5">
        <v>0.91859070464767612</v>
      </c>
      <c r="P5">
        <v>-8.4914626184014894E-2</v>
      </c>
      <c r="Q5">
        <v>-3.0858145427282979</v>
      </c>
      <c r="R5">
        <v>0.18494145519440369</v>
      </c>
      <c r="S5">
        <v>10.855131605758222</v>
      </c>
    </row>
    <row r="6" spans="1:19">
      <c r="A6">
        <v>2008</v>
      </c>
      <c r="B6" t="s">
        <v>8</v>
      </c>
      <c r="C6" s="32" t="s">
        <v>27</v>
      </c>
      <c r="D6" t="s">
        <v>9</v>
      </c>
      <c r="E6">
        <v>2006</v>
      </c>
      <c r="F6">
        <v>5</v>
      </c>
      <c r="G6" s="32">
        <v>691</v>
      </c>
      <c r="H6">
        <v>5942</v>
      </c>
      <c r="I6">
        <v>6712</v>
      </c>
      <c r="J6" s="8">
        <v>422</v>
      </c>
      <c r="K6" s="8">
        <v>1</v>
      </c>
      <c r="L6">
        <v>51799.284</v>
      </c>
      <c r="M6">
        <v>4.5648099999999997E-2</v>
      </c>
      <c r="N6">
        <v>1.2031480000000001</v>
      </c>
      <c r="O6">
        <v>0.88528009535160901</v>
      </c>
      <c r="P6">
        <v>-0.12185119212448921</v>
      </c>
      <c r="Q6">
        <v>-3.0867932938369114</v>
      </c>
      <c r="R6">
        <v>0.18494145519440369</v>
      </c>
      <c r="S6">
        <v>10.855131605758222</v>
      </c>
    </row>
    <row r="7" spans="1:19">
      <c r="A7">
        <v>2008</v>
      </c>
      <c r="B7" t="s">
        <v>8</v>
      </c>
      <c r="C7" s="32" t="s">
        <v>27</v>
      </c>
      <c r="D7" t="s">
        <v>9</v>
      </c>
      <c r="E7">
        <v>2006</v>
      </c>
      <c r="F7">
        <v>6</v>
      </c>
      <c r="G7" s="32">
        <v>350</v>
      </c>
      <c r="H7">
        <v>9466</v>
      </c>
      <c r="I7">
        <v>6721</v>
      </c>
      <c r="J7" s="8">
        <v>699</v>
      </c>
      <c r="K7" s="8">
        <v>0</v>
      </c>
      <c r="L7">
        <v>51799.284</v>
      </c>
      <c r="M7">
        <v>4.5232700000000001E-2</v>
      </c>
      <c r="N7">
        <v>1.2031480000000001</v>
      </c>
      <c r="O7">
        <v>1.4084213658681743</v>
      </c>
      <c r="P7">
        <v>0.34246947849622739</v>
      </c>
      <c r="Q7">
        <v>-3.0959350023812844</v>
      </c>
      <c r="R7">
        <v>0.18494145519440369</v>
      </c>
      <c r="S7">
        <v>10.855131605758222</v>
      </c>
    </row>
    <row r="8" spans="1:19">
      <c r="A8">
        <v>2008</v>
      </c>
      <c r="B8" t="s">
        <v>8</v>
      </c>
      <c r="C8" s="32" t="s">
        <v>27</v>
      </c>
      <c r="D8" t="s">
        <v>9</v>
      </c>
      <c r="E8">
        <v>2006</v>
      </c>
      <c r="F8">
        <v>7</v>
      </c>
      <c r="G8" s="32">
        <v>553</v>
      </c>
      <c r="H8">
        <v>12327</v>
      </c>
      <c r="I8">
        <v>6742</v>
      </c>
      <c r="J8" s="8">
        <v>866</v>
      </c>
      <c r="K8" s="8">
        <v>0</v>
      </c>
      <c r="L8">
        <v>51799.284</v>
      </c>
      <c r="M8">
        <v>5.4302299999999998E-2</v>
      </c>
      <c r="N8">
        <v>1.2031480000000001</v>
      </c>
      <c r="O8">
        <v>1.8283892020172057</v>
      </c>
      <c r="P8">
        <v>0.60343536175751344</v>
      </c>
      <c r="Q8">
        <v>-2.91318869566489</v>
      </c>
      <c r="R8">
        <v>0.18494145519440369</v>
      </c>
      <c r="S8">
        <v>10.855131605758222</v>
      </c>
    </row>
    <row r="9" spans="1:19">
      <c r="A9">
        <v>2008</v>
      </c>
      <c r="B9" t="s">
        <v>8</v>
      </c>
      <c r="C9" s="32" t="s">
        <v>27</v>
      </c>
      <c r="D9" t="s">
        <v>9</v>
      </c>
      <c r="E9">
        <v>2006</v>
      </c>
      <c r="F9">
        <v>8</v>
      </c>
      <c r="G9" s="32">
        <v>328</v>
      </c>
      <c r="H9">
        <v>14757</v>
      </c>
      <c r="I9">
        <v>6729</v>
      </c>
      <c r="J9" s="8">
        <v>736</v>
      </c>
      <c r="K9" s="8">
        <v>0</v>
      </c>
      <c r="L9">
        <v>51799.284</v>
      </c>
      <c r="M9">
        <v>5.5404099999999998E-2</v>
      </c>
      <c r="N9">
        <v>1.2031480000000001</v>
      </c>
      <c r="O9">
        <v>2.193045028979046</v>
      </c>
      <c r="P9">
        <v>0.78529100227513149</v>
      </c>
      <c r="Q9">
        <v>-2.8931016807470815</v>
      </c>
      <c r="R9">
        <v>0.18494145519440369</v>
      </c>
      <c r="S9">
        <v>10.855131605758222</v>
      </c>
    </row>
    <row r="10" spans="1:19">
      <c r="A10">
        <v>2008</v>
      </c>
      <c r="B10" t="s">
        <v>8</v>
      </c>
      <c r="C10" s="32" t="s">
        <v>27</v>
      </c>
      <c r="D10" t="s">
        <v>9</v>
      </c>
      <c r="E10">
        <v>2006</v>
      </c>
      <c r="F10">
        <v>9</v>
      </c>
      <c r="G10" s="32">
        <v>280</v>
      </c>
      <c r="H10">
        <v>14757</v>
      </c>
      <c r="I10">
        <v>6729</v>
      </c>
      <c r="J10" s="8">
        <v>402</v>
      </c>
      <c r="K10" s="8">
        <v>0</v>
      </c>
      <c r="L10">
        <v>51799.284</v>
      </c>
      <c r="M10">
        <v>5.5404099999999998E-2</v>
      </c>
      <c r="N10">
        <v>1.2031480000000001</v>
      </c>
      <c r="O10">
        <v>2.193045028979046</v>
      </c>
      <c r="P10">
        <v>0.78529100227513149</v>
      </c>
      <c r="Q10">
        <v>-2.8931016807470815</v>
      </c>
      <c r="R10">
        <v>0.18494145519440369</v>
      </c>
      <c r="S10">
        <v>10.855131605758222</v>
      </c>
    </row>
    <row r="11" spans="1:19">
      <c r="A11">
        <v>2008</v>
      </c>
      <c r="B11" t="s">
        <v>8</v>
      </c>
      <c r="C11" s="32" t="s">
        <v>27</v>
      </c>
      <c r="D11" t="s">
        <v>9</v>
      </c>
      <c r="E11">
        <v>2006</v>
      </c>
      <c r="F11">
        <v>10</v>
      </c>
      <c r="G11" s="32">
        <v>289</v>
      </c>
      <c r="H11">
        <v>9900</v>
      </c>
      <c r="I11">
        <v>6723</v>
      </c>
      <c r="J11" s="8">
        <v>90</v>
      </c>
      <c r="K11" s="8">
        <v>67</v>
      </c>
      <c r="L11">
        <v>51799.284</v>
      </c>
      <c r="M11">
        <v>5.4111199999999998E-2</v>
      </c>
      <c r="N11">
        <v>1.2031480000000001</v>
      </c>
      <c r="O11">
        <v>1.4725568942436413</v>
      </c>
      <c r="P11">
        <v>0.3870002736536447</v>
      </c>
      <c r="Q11">
        <v>-2.9167140905266438</v>
      </c>
      <c r="R11">
        <v>0.18494145519440369</v>
      </c>
      <c r="S11">
        <v>10.855131605758222</v>
      </c>
    </row>
    <row r="12" spans="1:19">
      <c r="A12">
        <v>2008</v>
      </c>
      <c r="B12" t="s">
        <v>8</v>
      </c>
      <c r="C12" s="32" t="s">
        <v>27</v>
      </c>
      <c r="D12" t="s">
        <v>9</v>
      </c>
      <c r="E12">
        <v>2006</v>
      </c>
      <c r="F12">
        <v>11</v>
      </c>
      <c r="G12" s="32">
        <v>310</v>
      </c>
      <c r="H12">
        <v>5756</v>
      </c>
      <c r="I12">
        <v>6739</v>
      </c>
      <c r="J12" s="8">
        <v>7</v>
      </c>
      <c r="K12" s="8">
        <v>259</v>
      </c>
      <c r="L12">
        <v>51799.284</v>
      </c>
      <c r="M12">
        <v>5.5201399999999998E-2</v>
      </c>
      <c r="N12">
        <v>1.2031480000000001</v>
      </c>
      <c r="O12">
        <v>0.85413266063214122</v>
      </c>
      <c r="P12">
        <v>-0.15766875693895863</v>
      </c>
      <c r="Q12">
        <v>-2.8967669637018649</v>
      </c>
      <c r="R12">
        <v>0.18494145519440369</v>
      </c>
      <c r="S12">
        <v>10.855131605758222</v>
      </c>
    </row>
    <row r="13" spans="1:19">
      <c r="A13">
        <v>2008</v>
      </c>
      <c r="B13" t="s">
        <v>8</v>
      </c>
      <c r="C13" s="32" t="s">
        <v>27</v>
      </c>
      <c r="D13" t="s">
        <v>9</v>
      </c>
      <c r="E13">
        <v>2006</v>
      </c>
      <c r="F13">
        <v>12</v>
      </c>
      <c r="G13" s="32">
        <v>273</v>
      </c>
      <c r="H13">
        <v>6170</v>
      </c>
      <c r="I13">
        <v>6729</v>
      </c>
      <c r="J13" s="8">
        <v>0</v>
      </c>
      <c r="K13" s="8">
        <v>610</v>
      </c>
      <c r="L13">
        <v>51799.284</v>
      </c>
      <c r="M13">
        <v>5.4951600000000003E-2</v>
      </c>
      <c r="N13">
        <v>1.2031480000000001</v>
      </c>
      <c r="O13">
        <v>0.91692673502749289</v>
      </c>
      <c r="P13">
        <v>-8.6727706288884571E-2</v>
      </c>
      <c r="Q13">
        <v>-2.9013024811769736</v>
      </c>
      <c r="R13">
        <v>0.18494145519440369</v>
      </c>
      <c r="S13">
        <v>10.855131605758222</v>
      </c>
    </row>
    <row r="14" spans="1:19">
      <c r="A14">
        <v>13073</v>
      </c>
      <c r="B14" t="s">
        <v>10</v>
      </c>
      <c r="C14" s="32" t="s">
        <v>28</v>
      </c>
      <c r="D14" t="s">
        <v>9</v>
      </c>
      <c r="E14">
        <v>2006</v>
      </c>
      <c r="F14">
        <v>1</v>
      </c>
      <c r="G14" s="32">
        <v>279</v>
      </c>
      <c r="H14">
        <v>6730</v>
      </c>
      <c r="I14">
        <v>4739</v>
      </c>
      <c r="J14" s="9">
        <v>0</v>
      </c>
      <c r="K14" s="9">
        <v>1146</v>
      </c>
      <c r="L14">
        <v>43388.88</v>
      </c>
      <c r="M14">
        <v>6.4197299999999999E-2</v>
      </c>
      <c r="N14">
        <v>1.486013</v>
      </c>
      <c r="O14">
        <v>1.4201308292888795</v>
      </c>
      <c r="P14">
        <v>0.35074900067118514</v>
      </c>
      <c r="Q14">
        <v>-2.7457941252453693</v>
      </c>
      <c r="R14">
        <v>0.39609669457493235</v>
      </c>
      <c r="S14">
        <v>10.67795846606008</v>
      </c>
    </row>
    <row r="15" spans="1:19">
      <c r="A15">
        <v>13073</v>
      </c>
      <c r="B15" t="s">
        <v>10</v>
      </c>
      <c r="C15" s="32" t="s">
        <v>28</v>
      </c>
      <c r="D15" t="s">
        <v>9</v>
      </c>
      <c r="E15">
        <v>2006</v>
      </c>
      <c r="F15">
        <v>2</v>
      </c>
      <c r="G15" s="32">
        <v>410</v>
      </c>
      <c r="H15">
        <v>6749</v>
      </c>
      <c r="I15">
        <v>4745</v>
      </c>
      <c r="J15" s="9">
        <v>0</v>
      </c>
      <c r="K15" s="9">
        <v>1003</v>
      </c>
      <c r="L15">
        <v>43388.88</v>
      </c>
      <c r="M15">
        <v>6.4160099999999998E-2</v>
      </c>
      <c r="N15">
        <v>1.486013</v>
      </c>
      <c r="O15">
        <v>1.4223393045310853</v>
      </c>
      <c r="P15">
        <v>0.35230291369937816</v>
      </c>
      <c r="Q15">
        <v>-2.7463737568216016</v>
      </c>
      <c r="R15">
        <v>0.39609669457493235</v>
      </c>
      <c r="S15">
        <v>10.67795846606008</v>
      </c>
    </row>
    <row r="16" spans="1:19">
      <c r="A16">
        <v>13073</v>
      </c>
      <c r="B16" t="s">
        <v>10</v>
      </c>
      <c r="C16" s="32" t="s">
        <v>28</v>
      </c>
      <c r="D16" t="s">
        <v>9</v>
      </c>
      <c r="E16">
        <v>2006</v>
      </c>
      <c r="F16">
        <v>3</v>
      </c>
      <c r="G16" s="32">
        <v>446</v>
      </c>
      <c r="H16">
        <v>6546</v>
      </c>
      <c r="I16">
        <v>4751</v>
      </c>
      <c r="J16" s="9">
        <v>0</v>
      </c>
      <c r="K16" s="9">
        <v>1058</v>
      </c>
      <c r="L16">
        <v>43388.88</v>
      </c>
      <c r="M16">
        <v>6.4521999999999996E-2</v>
      </c>
      <c r="N16">
        <v>1.486013</v>
      </c>
      <c r="O16">
        <v>1.3778151968006735</v>
      </c>
      <c r="P16">
        <v>0.32049905387420452</v>
      </c>
      <c r="Q16">
        <v>-2.7407490280654496</v>
      </c>
      <c r="R16">
        <v>0.39609669457493235</v>
      </c>
      <c r="S16">
        <v>10.67795846606008</v>
      </c>
    </row>
    <row r="17" spans="1:19">
      <c r="A17">
        <v>13073</v>
      </c>
      <c r="B17" t="s">
        <v>10</v>
      </c>
      <c r="C17" s="32" t="s">
        <v>28</v>
      </c>
      <c r="D17" t="s">
        <v>9</v>
      </c>
      <c r="E17">
        <v>2006</v>
      </c>
      <c r="F17">
        <v>4</v>
      </c>
      <c r="G17" s="32">
        <v>447</v>
      </c>
      <c r="H17">
        <v>5966</v>
      </c>
      <c r="I17">
        <v>4756</v>
      </c>
      <c r="J17" s="9">
        <v>0</v>
      </c>
      <c r="K17" s="9">
        <v>622</v>
      </c>
      <c r="L17">
        <v>43388.88</v>
      </c>
      <c r="M17">
        <v>6.6572999999999993E-2</v>
      </c>
      <c r="N17">
        <v>1.486013</v>
      </c>
      <c r="O17">
        <v>1.2544154751892347</v>
      </c>
      <c r="P17">
        <v>0.22666970726402141</v>
      </c>
      <c r="Q17">
        <v>-2.7094561890401874</v>
      </c>
      <c r="R17">
        <v>0.39609669457493235</v>
      </c>
      <c r="S17">
        <v>10.67795846606008</v>
      </c>
    </row>
    <row r="18" spans="1:19">
      <c r="A18">
        <v>13073</v>
      </c>
      <c r="B18" t="s">
        <v>10</v>
      </c>
      <c r="C18" s="32" t="s">
        <v>28</v>
      </c>
      <c r="D18" t="s">
        <v>9</v>
      </c>
      <c r="E18">
        <v>2006</v>
      </c>
      <c r="F18">
        <v>5</v>
      </c>
      <c r="G18" s="32">
        <v>275</v>
      </c>
      <c r="H18">
        <v>3998</v>
      </c>
      <c r="I18">
        <v>4771</v>
      </c>
      <c r="J18" s="9">
        <v>0</v>
      </c>
      <c r="K18" s="9">
        <v>358</v>
      </c>
      <c r="L18">
        <v>43388.88</v>
      </c>
      <c r="M18">
        <v>7.5113200000000005E-2</v>
      </c>
      <c r="N18">
        <v>1.486013</v>
      </c>
      <c r="O18">
        <v>0.83797945923286521</v>
      </c>
      <c r="P18">
        <v>-0.17676169045576165</v>
      </c>
      <c r="Q18">
        <v>-2.5887589700112135</v>
      </c>
      <c r="R18">
        <v>0.39609669457493235</v>
      </c>
      <c r="S18">
        <v>10.67795846606008</v>
      </c>
    </row>
    <row r="19" spans="1:19">
      <c r="A19">
        <v>13073</v>
      </c>
      <c r="B19" t="s">
        <v>10</v>
      </c>
      <c r="C19" s="32" t="s">
        <v>28</v>
      </c>
      <c r="D19" t="s">
        <v>9</v>
      </c>
      <c r="E19">
        <v>2006</v>
      </c>
      <c r="F19">
        <v>6</v>
      </c>
      <c r="G19" s="32">
        <v>310</v>
      </c>
      <c r="H19">
        <v>3288</v>
      </c>
      <c r="I19">
        <v>4780</v>
      </c>
      <c r="J19" s="9">
        <v>38</v>
      </c>
      <c r="K19" s="9">
        <v>67</v>
      </c>
      <c r="L19">
        <v>43388.88</v>
      </c>
      <c r="M19">
        <v>8.1021099999999999E-2</v>
      </c>
      <c r="N19">
        <v>1.486013</v>
      </c>
      <c r="O19">
        <v>0.68786610878661092</v>
      </c>
      <c r="P19">
        <v>-0.37416106930943105</v>
      </c>
      <c r="Q19">
        <v>-2.5130456644051637</v>
      </c>
      <c r="R19">
        <v>0.39609669457493235</v>
      </c>
      <c r="S19">
        <v>10.67795846606008</v>
      </c>
    </row>
    <row r="20" spans="1:19">
      <c r="A20">
        <v>13073</v>
      </c>
      <c r="B20" t="s">
        <v>10</v>
      </c>
      <c r="C20" s="32" t="s">
        <v>28</v>
      </c>
      <c r="D20" t="s">
        <v>9</v>
      </c>
      <c r="E20">
        <v>2006</v>
      </c>
      <c r="F20">
        <v>7</v>
      </c>
      <c r="G20" s="32">
        <v>267</v>
      </c>
      <c r="H20">
        <v>3062</v>
      </c>
      <c r="I20">
        <v>4786</v>
      </c>
      <c r="J20" s="9">
        <v>168</v>
      </c>
      <c r="K20" s="9">
        <v>6</v>
      </c>
      <c r="L20">
        <v>43388.88</v>
      </c>
      <c r="M20">
        <v>8.2888400000000001E-2</v>
      </c>
      <c r="N20">
        <v>1.486013</v>
      </c>
      <c r="O20">
        <v>0.63978269954032596</v>
      </c>
      <c r="P20">
        <v>-0.44662669225068957</v>
      </c>
      <c r="Q20">
        <v>-2.490260154255314</v>
      </c>
      <c r="R20">
        <v>0.39609669457493235</v>
      </c>
      <c r="S20">
        <v>10.67795846606008</v>
      </c>
    </row>
    <row r="21" spans="1:19">
      <c r="A21">
        <v>13073</v>
      </c>
      <c r="B21" t="s">
        <v>10</v>
      </c>
      <c r="C21" s="32" t="s">
        <v>28</v>
      </c>
      <c r="D21" t="s">
        <v>9</v>
      </c>
      <c r="E21">
        <v>2006</v>
      </c>
      <c r="F21">
        <v>8</v>
      </c>
      <c r="G21" s="32">
        <v>350</v>
      </c>
      <c r="H21">
        <v>3130</v>
      </c>
      <c r="I21">
        <v>4791</v>
      </c>
      <c r="J21" s="9">
        <v>38</v>
      </c>
      <c r="K21" s="9">
        <v>36</v>
      </c>
      <c r="L21">
        <v>43388.88</v>
      </c>
      <c r="M21">
        <v>8.2635E-2</v>
      </c>
      <c r="N21">
        <v>1.486013</v>
      </c>
      <c r="O21">
        <v>0.6533082863702776</v>
      </c>
      <c r="P21">
        <v>-0.4257061533489232</v>
      </c>
      <c r="Q21">
        <v>-2.4933219593893474</v>
      </c>
      <c r="R21">
        <v>0.39609669457493235</v>
      </c>
      <c r="S21">
        <v>10.67795846606008</v>
      </c>
    </row>
    <row r="22" spans="1:19">
      <c r="A22">
        <v>13073</v>
      </c>
      <c r="B22" t="s">
        <v>10</v>
      </c>
      <c r="C22" s="32" t="s">
        <v>28</v>
      </c>
      <c r="D22" t="s">
        <v>9</v>
      </c>
      <c r="E22">
        <v>2006</v>
      </c>
      <c r="F22">
        <v>9</v>
      </c>
      <c r="G22" s="32">
        <v>436</v>
      </c>
      <c r="H22">
        <v>3335</v>
      </c>
      <c r="I22">
        <v>4794</v>
      </c>
      <c r="J22" s="9">
        <v>3</v>
      </c>
      <c r="K22" s="9">
        <v>326</v>
      </c>
      <c r="L22">
        <v>43388.88</v>
      </c>
      <c r="M22">
        <v>8.1041199999999994E-2</v>
      </c>
      <c r="N22">
        <v>1.486013</v>
      </c>
      <c r="O22">
        <v>0.69566124322069256</v>
      </c>
      <c r="P22">
        <v>-0.36289245664460551</v>
      </c>
      <c r="Q22">
        <v>-2.5127976116488711</v>
      </c>
      <c r="R22">
        <v>0.39609669457493235</v>
      </c>
      <c r="S22">
        <v>10.67795846606008</v>
      </c>
    </row>
    <row r="23" spans="1:19">
      <c r="A23">
        <v>13073</v>
      </c>
      <c r="B23" t="s">
        <v>10</v>
      </c>
      <c r="C23" s="32" t="s">
        <v>28</v>
      </c>
      <c r="D23" t="s">
        <v>9</v>
      </c>
      <c r="E23">
        <v>2006</v>
      </c>
      <c r="F23">
        <v>10</v>
      </c>
      <c r="G23" s="32">
        <v>440</v>
      </c>
      <c r="H23">
        <v>3395</v>
      </c>
      <c r="I23">
        <v>4814</v>
      </c>
      <c r="J23" s="9">
        <v>0</v>
      </c>
      <c r="K23" s="9">
        <v>630</v>
      </c>
      <c r="L23">
        <v>43388.88</v>
      </c>
      <c r="M23">
        <v>7.9894199999999999E-2</v>
      </c>
      <c r="N23">
        <v>1.486013</v>
      </c>
      <c r="O23">
        <v>0.70523473203157461</v>
      </c>
      <c r="P23">
        <v>-0.34922457835022069</v>
      </c>
      <c r="Q23">
        <v>-2.5270520195831665</v>
      </c>
      <c r="R23">
        <v>0.39609669457493235</v>
      </c>
      <c r="S23">
        <v>10.67795846606008</v>
      </c>
    </row>
    <row r="24" spans="1:19">
      <c r="A24">
        <v>13073</v>
      </c>
      <c r="B24" t="s">
        <v>10</v>
      </c>
      <c r="C24" s="32" t="s">
        <v>28</v>
      </c>
      <c r="D24" t="s">
        <v>9</v>
      </c>
      <c r="E24">
        <v>2006</v>
      </c>
      <c r="F24">
        <v>11</v>
      </c>
      <c r="G24" s="32">
        <v>262</v>
      </c>
      <c r="H24">
        <v>4704</v>
      </c>
      <c r="I24">
        <v>4822</v>
      </c>
      <c r="J24" s="9">
        <v>0</v>
      </c>
      <c r="K24" s="9">
        <v>905</v>
      </c>
      <c r="L24">
        <v>43388.88</v>
      </c>
      <c r="M24">
        <v>7.2077299999999997E-2</v>
      </c>
      <c r="N24">
        <v>1.486013</v>
      </c>
      <c r="O24">
        <v>0.97552882621318959</v>
      </c>
      <c r="P24">
        <v>-2.4775569162653464E-2</v>
      </c>
      <c r="Q24">
        <v>-2.6300161247632157</v>
      </c>
      <c r="R24">
        <v>0.39609669457493235</v>
      </c>
      <c r="S24">
        <v>10.67795846606008</v>
      </c>
    </row>
    <row r="25" spans="1:19">
      <c r="A25">
        <v>13073</v>
      </c>
      <c r="B25" t="s">
        <v>10</v>
      </c>
      <c r="C25" s="32" t="s">
        <v>28</v>
      </c>
      <c r="D25" t="s">
        <v>9</v>
      </c>
      <c r="E25">
        <v>2006</v>
      </c>
      <c r="F25">
        <v>12</v>
      </c>
      <c r="G25" s="32">
        <v>280</v>
      </c>
      <c r="H25">
        <v>6515</v>
      </c>
      <c r="I25">
        <v>4831</v>
      </c>
      <c r="J25" s="9">
        <v>0</v>
      </c>
      <c r="K25" s="9">
        <v>1225</v>
      </c>
      <c r="L25">
        <v>43388.88</v>
      </c>
      <c r="M25">
        <v>6.5423800000000004E-2</v>
      </c>
      <c r="N25">
        <v>1.486013</v>
      </c>
      <c r="O25">
        <v>1.3485820741047403</v>
      </c>
      <c r="P25">
        <v>0.29905372500453886</v>
      </c>
      <c r="Q25">
        <v>-2.7268691723466705</v>
      </c>
      <c r="R25">
        <v>0.39609669457493235</v>
      </c>
      <c r="S25">
        <v>10.67795846606008</v>
      </c>
    </row>
    <row r="26" spans="1:19">
      <c r="A26">
        <v>13407</v>
      </c>
      <c r="B26" t="s">
        <v>11</v>
      </c>
      <c r="C26" s="32" t="s">
        <v>29</v>
      </c>
      <c r="D26" t="s">
        <v>9</v>
      </c>
      <c r="E26">
        <v>2006</v>
      </c>
      <c r="F26">
        <v>1</v>
      </c>
      <c r="G26" s="32">
        <v>59991</v>
      </c>
      <c r="H26" s="32">
        <v>579077</v>
      </c>
      <c r="I26" s="32">
        <v>687655</v>
      </c>
      <c r="J26" s="14">
        <v>0</v>
      </c>
      <c r="K26" s="14">
        <v>453</v>
      </c>
      <c r="L26">
        <v>51861.251999999993</v>
      </c>
      <c r="M26">
        <v>0.1003569</v>
      </c>
      <c r="N26">
        <v>1.2031480000000001</v>
      </c>
      <c r="O26">
        <v>0.84210396201583648</v>
      </c>
      <c r="P26">
        <v>-0.17185180203404707</v>
      </c>
      <c r="Q26">
        <v>-2.2990224467613034</v>
      </c>
      <c r="R26">
        <v>0.18494145519440369</v>
      </c>
      <c r="S26">
        <v>10.856327200721799</v>
      </c>
    </row>
    <row r="27" spans="1:19">
      <c r="A27">
        <v>13407</v>
      </c>
      <c r="B27" t="s">
        <v>11</v>
      </c>
      <c r="C27" s="32" t="s">
        <v>29</v>
      </c>
      <c r="D27" t="s">
        <v>9</v>
      </c>
      <c r="E27">
        <v>2006</v>
      </c>
      <c r="F27">
        <v>2</v>
      </c>
      <c r="G27" s="32">
        <v>51106</v>
      </c>
      <c r="H27" s="32">
        <v>445460</v>
      </c>
      <c r="I27" s="32">
        <v>688393</v>
      </c>
      <c r="J27" s="14">
        <v>0</v>
      </c>
      <c r="K27" s="14">
        <v>305</v>
      </c>
      <c r="L27">
        <v>51861.251999999993</v>
      </c>
      <c r="M27">
        <v>0.1017692</v>
      </c>
      <c r="N27">
        <v>1.2031480000000001</v>
      </c>
      <c r="O27">
        <v>0.64710129243034142</v>
      </c>
      <c r="P27">
        <v>-0.43525243965566407</v>
      </c>
      <c r="Q27">
        <v>-2.2850477746719231</v>
      </c>
      <c r="R27">
        <v>0.18494145519440369</v>
      </c>
      <c r="S27">
        <v>10.856327200721799</v>
      </c>
    </row>
    <row r="28" spans="1:19">
      <c r="A28">
        <v>13407</v>
      </c>
      <c r="B28" t="s">
        <v>11</v>
      </c>
      <c r="C28" s="32" t="s">
        <v>29</v>
      </c>
      <c r="D28" t="s">
        <v>9</v>
      </c>
      <c r="E28">
        <v>2006</v>
      </c>
      <c r="F28">
        <v>3</v>
      </c>
      <c r="G28" s="32">
        <v>67380</v>
      </c>
      <c r="H28" s="32">
        <v>481886</v>
      </c>
      <c r="I28" s="32">
        <v>689997</v>
      </c>
      <c r="J28" s="14">
        <v>0</v>
      </c>
      <c r="K28" s="14">
        <v>298</v>
      </c>
      <c r="L28">
        <v>51861.251999999993</v>
      </c>
      <c r="M28">
        <v>0.10273649999999999</v>
      </c>
      <c r="N28">
        <v>1.2031480000000001</v>
      </c>
      <c r="O28">
        <v>0.69838854371830605</v>
      </c>
      <c r="P28">
        <v>-0.3589796782019582</v>
      </c>
      <c r="Q28">
        <v>-2.2755878210991169</v>
      </c>
      <c r="R28">
        <v>0.18494145519440369</v>
      </c>
      <c r="S28">
        <v>10.856327200721799</v>
      </c>
    </row>
    <row r="29" spans="1:19">
      <c r="A29">
        <v>13407</v>
      </c>
      <c r="B29" t="s">
        <v>11</v>
      </c>
      <c r="C29" s="32" t="s">
        <v>29</v>
      </c>
      <c r="D29" t="s">
        <v>9</v>
      </c>
      <c r="E29">
        <v>2006</v>
      </c>
      <c r="F29">
        <v>4</v>
      </c>
      <c r="G29" s="32">
        <v>160026</v>
      </c>
      <c r="H29" s="32">
        <v>430569</v>
      </c>
      <c r="I29" s="32">
        <v>692463</v>
      </c>
      <c r="J29" s="14">
        <v>105</v>
      </c>
      <c r="K29" s="14">
        <v>52</v>
      </c>
      <c r="L29">
        <v>51861.251999999993</v>
      </c>
      <c r="M29">
        <v>0.1035339</v>
      </c>
      <c r="N29">
        <v>1.2031480000000001</v>
      </c>
      <c r="O29">
        <v>0.62179351098903479</v>
      </c>
      <c r="P29">
        <v>-0.47514721726102915</v>
      </c>
      <c r="Q29">
        <v>-2.267856183673111</v>
      </c>
      <c r="R29">
        <v>0.18494145519440369</v>
      </c>
      <c r="S29">
        <v>10.856327200721799</v>
      </c>
    </row>
    <row r="30" spans="1:19">
      <c r="A30">
        <v>13407</v>
      </c>
      <c r="B30" t="s">
        <v>11</v>
      </c>
      <c r="C30" s="32" t="s">
        <v>29</v>
      </c>
      <c r="D30" t="s">
        <v>9</v>
      </c>
      <c r="E30">
        <v>2006</v>
      </c>
      <c r="F30">
        <v>5</v>
      </c>
      <c r="G30" s="32">
        <v>122642</v>
      </c>
      <c r="H30" s="32">
        <v>743349</v>
      </c>
      <c r="I30" s="32">
        <v>697178</v>
      </c>
      <c r="J30" s="14">
        <v>502</v>
      </c>
      <c r="K30" s="14">
        <v>0</v>
      </c>
      <c r="L30">
        <v>51861.251999999993</v>
      </c>
      <c r="M30">
        <v>0.1065989</v>
      </c>
      <c r="N30">
        <v>1.2031480000000001</v>
      </c>
      <c r="O30">
        <v>1.0662255550232509</v>
      </c>
      <c r="P30">
        <v>6.4124893439725897E-2</v>
      </c>
      <c r="Q30">
        <v>-2.238682086252977</v>
      </c>
      <c r="R30">
        <v>0.18494145519440369</v>
      </c>
      <c r="S30">
        <v>10.856327200721799</v>
      </c>
    </row>
    <row r="31" spans="1:19">
      <c r="A31">
        <v>13407</v>
      </c>
      <c r="B31" t="s">
        <v>11</v>
      </c>
      <c r="C31" s="32" t="s">
        <v>29</v>
      </c>
      <c r="D31" t="s">
        <v>9</v>
      </c>
      <c r="E31">
        <v>2006</v>
      </c>
      <c r="F31">
        <v>6</v>
      </c>
      <c r="G31" s="32">
        <v>46018</v>
      </c>
      <c r="H31" s="32">
        <v>1141616</v>
      </c>
      <c r="I31" s="32">
        <v>702195</v>
      </c>
      <c r="J31" s="14">
        <v>772</v>
      </c>
      <c r="K31" s="14">
        <v>0</v>
      </c>
      <c r="L31">
        <v>51861.251999999993</v>
      </c>
      <c r="M31">
        <v>0.1040678</v>
      </c>
      <c r="N31">
        <v>1.2031480000000001</v>
      </c>
      <c r="O31">
        <v>1.6257820121191406</v>
      </c>
      <c r="P31">
        <v>0.48598893825088524</v>
      </c>
      <c r="Q31">
        <v>-2.262712669173379</v>
      </c>
      <c r="R31">
        <v>0.18494145519440369</v>
      </c>
      <c r="S31">
        <v>10.856327200721799</v>
      </c>
    </row>
    <row r="32" spans="1:19">
      <c r="A32">
        <v>13407</v>
      </c>
      <c r="B32" t="s">
        <v>11</v>
      </c>
      <c r="C32" s="32" t="s">
        <v>29</v>
      </c>
      <c r="D32" t="s">
        <v>9</v>
      </c>
      <c r="E32">
        <v>2006</v>
      </c>
      <c r="F32">
        <v>7</v>
      </c>
      <c r="G32" s="32">
        <v>101078</v>
      </c>
      <c r="H32" s="32">
        <v>1495385</v>
      </c>
      <c r="I32" s="32">
        <v>702769</v>
      </c>
      <c r="J32" s="14">
        <v>925</v>
      </c>
      <c r="K32" s="14">
        <v>0</v>
      </c>
      <c r="L32">
        <v>51861.251999999993</v>
      </c>
      <c r="M32">
        <v>0.1036656</v>
      </c>
      <c r="N32">
        <v>1.2031480000000001</v>
      </c>
      <c r="O32">
        <v>2.1278471304226567</v>
      </c>
      <c r="P32">
        <v>0.75511073169158405</v>
      </c>
      <c r="Q32">
        <v>-2.2665849449130162</v>
      </c>
      <c r="R32">
        <v>0.18494145519440369</v>
      </c>
      <c r="S32">
        <v>10.856327200721799</v>
      </c>
    </row>
    <row r="33" spans="1:19">
      <c r="A33">
        <v>13407</v>
      </c>
      <c r="B33" t="s">
        <v>11</v>
      </c>
      <c r="C33" s="32" t="s">
        <v>29</v>
      </c>
      <c r="D33" t="s">
        <v>9</v>
      </c>
      <c r="E33">
        <v>2006</v>
      </c>
      <c r="F33">
        <v>8</v>
      </c>
      <c r="G33" s="32">
        <v>141642</v>
      </c>
      <c r="H33" s="32">
        <v>1320216</v>
      </c>
      <c r="I33" s="32">
        <v>707651</v>
      </c>
      <c r="J33" s="14">
        <v>815</v>
      </c>
      <c r="K33" s="14">
        <v>0</v>
      </c>
      <c r="L33">
        <v>51861.251999999993</v>
      </c>
      <c r="M33">
        <v>0.1039308</v>
      </c>
      <c r="N33">
        <v>1.2031480000000001</v>
      </c>
      <c r="O33">
        <v>1.865631504795443</v>
      </c>
      <c r="P33">
        <v>0.62359960425027539</v>
      </c>
      <c r="Q33">
        <v>-2.264029985922738</v>
      </c>
      <c r="R33">
        <v>0.18494145519440369</v>
      </c>
      <c r="S33">
        <v>10.856327200721799</v>
      </c>
    </row>
    <row r="34" spans="1:19">
      <c r="A34">
        <v>13407</v>
      </c>
      <c r="B34" t="s">
        <v>11</v>
      </c>
      <c r="C34" s="32" t="s">
        <v>29</v>
      </c>
      <c r="D34" t="s">
        <v>9</v>
      </c>
      <c r="E34">
        <v>2006</v>
      </c>
      <c r="F34">
        <v>9</v>
      </c>
      <c r="G34" s="32">
        <v>81799</v>
      </c>
      <c r="H34" s="32">
        <v>934166</v>
      </c>
      <c r="I34" s="32">
        <v>706838</v>
      </c>
      <c r="J34" s="14">
        <v>482</v>
      </c>
      <c r="K34" s="14">
        <v>0</v>
      </c>
      <c r="L34">
        <v>51861.251999999993</v>
      </c>
      <c r="M34">
        <v>0.10481650000000001</v>
      </c>
      <c r="N34">
        <v>1.2031480000000001</v>
      </c>
      <c r="O34">
        <v>1.3216125901550284</v>
      </c>
      <c r="P34">
        <v>0.27885265018822297</v>
      </c>
      <c r="Q34">
        <v>-2.2555440767399122</v>
      </c>
      <c r="R34">
        <v>0.18494145519440369</v>
      </c>
      <c r="S34">
        <v>10.856327200721799</v>
      </c>
    </row>
    <row r="35" spans="1:19">
      <c r="A35">
        <v>13407</v>
      </c>
      <c r="B35" t="s">
        <v>11</v>
      </c>
      <c r="C35" s="32" t="s">
        <v>29</v>
      </c>
      <c r="D35" t="s">
        <v>9</v>
      </c>
      <c r="E35">
        <v>2006</v>
      </c>
      <c r="F35">
        <v>10</v>
      </c>
      <c r="G35" s="32">
        <v>46798</v>
      </c>
      <c r="H35" s="32">
        <v>488982</v>
      </c>
      <c r="I35" s="32">
        <v>707575</v>
      </c>
      <c r="J35" s="14">
        <v>118</v>
      </c>
      <c r="K35" s="14">
        <v>27</v>
      </c>
      <c r="L35">
        <v>51861.251999999993</v>
      </c>
      <c r="M35">
        <v>0.1096613</v>
      </c>
      <c r="N35">
        <v>1.2031480000000001</v>
      </c>
      <c r="O35">
        <v>0.69106737801646467</v>
      </c>
      <c r="P35">
        <v>-0.36951795198475523</v>
      </c>
      <c r="Q35">
        <v>-2.2103587542525012</v>
      </c>
      <c r="R35">
        <v>0.18494145519440369</v>
      </c>
      <c r="S35">
        <v>10.856327200721799</v>
      </c>
    </row>
    <row r="36" spans="1:19">
      <c r="A36">
        <v>13407</v>
      </c>
      <c r="B36" t="s">
        <v>11</v>
      </c>
      <c r="C36" s="32" t="s">
        <v>29</v>
      </c>
      <c r="D36" t="s">
        <v>9</v>
      </c>
      <c r="E36">
        <v>2006</v>
      </c>
      <c r="F36">
        <v>11</v>
      </c>
      <c r="G36" s="32">
        <v>41734</v>
      </c>
      <c r="H36" s="32">
        <v>360972</v>
      </c>
      <c r="I36" s="32">
        <v>710885</v>
      </c>
      <c r="J36" s="14">
        <v>12</v>
      </c>
      <c r="K36" s="14">
        <v>204</v>
      </c>
      <c r="L36">
        <v>51861.251999999993</v>
      </c>
      <c r="M36">
        <v>0.1119989</v>
      </c>
      <c r="N36">
        <v>1.2031480000000001</v>
      </c>
      <c r="O36">
        <v>0.50777833264170713</v>
      </c>
      <c r="P36">
        <v>-0.67771027970086406</v>
      </c>
      <c r="Q36">
        <v>-2.1892662291638443</v>
      </c>
      <c r="R36">
        <v>0.18494145519440369</v>
      </c>
      <c r="S36">
        <v>10.856327200721799</v>
      </c>
    </row>
    <row r="37" spans="1:19">
      <c r="A37">
        <v>13407</v>
      </c>
      <c r="B37" t="s">
        <v>11</v>
      </c>
      <c r="C37" s="32" t="s">
        <v>29</v>
      </c>
      <c r="D37" t="s">
        <v>9</v>
      </c>
      <c r="E37">
        <v>2006</v>
      </c>
      <c r="F37">
        <v>12</v>
      </c>
      <c r="G37" s="32">
        <v>55354</v>
      </c>
      <c r="H37" s="32">
        <v>611465</v>
      </c>
      <c r="I37" s="32">
        <v>711499</v>
      </c>
      <c r="J37" s="14">
        <v>0</v>
      </c>
      <c r="K37" s="14">
        <v>537</v>
      </c>
      <c r="L37">
        <v>51861.251999999993</v>
      </c>
      <c r="M37">
        <v>0.1067473</v>
      </c>
      <c r="N37">
        <v>1.2031480000000001</v>
      </c>
      <c r="O37">
        <v>0.85940387829076359</v>
      </c>
      <c r="P37">
        <v>-0.15151629486254478</v>
      </c>
      <c r="Q37">
        <v>-2.2372909199333169</v>
      </c>
      <c r="R37">
        <v>0.18494145519440369</v>
      </c>
      <c r="S37">
        <v>10.856327200721799</v>
      </c>
    </row>
    <row r="38" spans="1:19">
      <c r="A38">
        <v>22814</v>
      </c>
      <c r="B38" t="s">
        <v>12</v>
      </c>
      <c r="C38" s="32" t="s">
        <v>30</v>
      </c>
      <c r="D38" t="s">
        <v>9</v>
      </c>
      <c r="E38">
        <v>2006</v>
      </c>
      <c r="F38">
        <v>1</v>
      </c>
      <c r="G38" s="32">
        <v>117</v>
      </c>
      <c r="H38">
        <v>1856</v>
      </c>
      <c r="I38">
        <v>1532</v>
      </c>
      <c r="J38" s="18">
        <v>0</v>
      </c>
      <c r="K38" s="18">
        <v>1030</v>
      </c>
      <c r="L38">
        <v>56259.299999999996</v>
      </c>
      <c r="M38">
        <v>6.1066799999999997E-2</v>
      </c>
      <c r="N38">
        <v>1.486013</v>
      </c>
      <c r="O38">
        <v>1.2114882506527416</v>
      </c>
      <c r="P38">
        <v>0.19184956304560932</v>
      </c>
      <c r="Q38">
        <v>-2.7957869320064872</v>
      </c>
      <c r="R38">
        <v>0.39609669457493235</v>
      </c>
      <c r="S38">
        <v>10.937726639733951</v>
      </c>
    </row>
    <row r="39" spans="1:19">
      <c r="A39">
        <v>22814</v>
      </c>
      <c r="B39" t="s">
        <v>12</v>
      </c>
      <c r="C39" s="32" t="s">
        <v>30</v>
      </c>
      <c r="D39" t="s">
        <v>9</v>
      </c>
      <c r="E39">
        <v>2006</v>
      </c>
      <c r="F39">
        <v>2</v>
      </c>
      <c r="G39" s="32">
        <v>154</v>
      </c>
      <c r="H39">
        <v>2029</v>
      </c>
      <c r="I39">
        <v>1532</v>
      </c>
      <c r="J39" s="18">
        <v>0</v>
      </c>
      <c r="K39" s="18">
        <v>945</v>
      </c>
      <c r="L39">
        <v>56259.299999999996</v>
      </c>
      <c r="M39">
        <v>6.3976500000000006E-2</v>
      </c>
      <c r="N39">
        <v>1.486013</v>
      </c>
      <c r="O39">
        <v>1.3244125326370757</v>
      </c>
      <c r="P39">
        <v>0.2809689895252781</v>
      </c>
      <c r="Q39">
        <v>-2.7492394505523019</v>
      </c>
      <c r="R39">
        <v>0.39609669457493235</v>
      </c>
      <c r="S39">
        <v>10.937726639733951</v>
      </c>
    </row>
    <row r="40" spans="1:19">
      <c r="A40">
        <v>22814</v>
      </c>
      <c r="B40" t="s">
        <v>12</v>
      </c>
      <c r="C40" s="32" t="s">
        <v>30</v>
      </c>
      <c r="D40" t="s">
        <v>9</v>
      </c>
      <c r="E40">
        <v>2006</v>
      </c>
      <c r="F40">
        <v>3</v>
      </c>
      <c r="G40" s="32">
        <v>63</v>
      </c>
      <c r="H40">
        <v>1853</v>
      </c>
      <c r="I40">
        <v>1532</v>
      </c>
      <c r="J40" s="18">
        <v>0</v>
      </c>
      <c r="K40" s="18">
        <v>937</v>
      </c>
      <c r="L40">
        <v>56259.299999999996</v>
      </c>
      <c r="M40">
        <v>6.3779600000000006E-2</v>
      </c>
      <c r="N40">
        <v>1.486013</v>
      </c>
      <c r="O40">
        <v>1.2095300261096606</v>
      </c>
      <c r="P40">
        <v>0.19023187598482325</v>
      </c>
      <c r="Q40">
        <v>-2.7523218889783738</v>
      </c>
      <c r="R40">
        <v>0.39609669457493235</v>
      </c>
      <c r="S40">
        <v>10.937726639733951</v>
      </c>
    </row>
    <row r="41" spans="1:19">
      <c r="A41">
        <v>22814</v>
      </c>
      <c r="B41" t="s">
        <v>12</v>
      </c>
      <c r="C41" s="32" t="s">
        <v>30</v>
      </c>
      <c r="D41" t="s">
        <v>9</v>
      </c>
      <c r="E41">
        <v>2006</v>
      </c>
      <c r="F41">
        <v>4</v>
      </c>
      <c r="G41" s="32">
        <v>107</v>
      </c>
      <c r="H41">
        <v>1248</v>
      </c>
      <c r="I41">
        <v>1529</v>
      </c>
      <c r="J41" s="18">
        <v>0</v>
      </c>
      <c r="K41" s="18">
        <v>525</v>
      </c>
      <c r="L41">
        <v>56259.299999999996</v>
      </c>
      <c r="M41">
        <v>6.6754599999999997E-2</v>
      </c>
      <c r="N41">
        <v>1.486013</v>
      </c>
      <c r="O41">
        <v>0.81621975147155001</v>
      </c>
      <c r="P41">
        <v>-0.20307165699968935</v>
      </c>
      <c r="Q41">
        <v>-2.7067320702185511</v>
      </c>
      <c r="R41">
        <v>0.39609669457493235</v>
      </c>
      <c r="S41">
        <v>10.937726639733951</v>
      </c>
    </row>
    <row r="42" spans="1:19">
      <c r="A42">
        <v>22814</v>
      </c>
      <c r="B42" t="s">
        <v>12</v>
      </c>
      <c r="C42" s="32" t="s">
        <v>30</v>
      </c>
      <c r="D42" t="s">
        <v>9</v>
      </c>
      <c r="E42">
        <v>2006</v>
      </c>
      <c r="F42">
        <v>5</v>
      </c>
      <c r="G42" s="32">
        <v>88</v>
      </c>
      <c r="H42">
        <v>866</v>
      </c>
      <c r="I42">
        <v>1527</v>
      </c>
      <c r="J42" s="18">
        <v>21</v>
      </c>
      <c r="K42" s="18">
        <v>262</v>
      </c>
      <c r="L42">
        <v>56259.299999999996</v>
      </c>
      <c r="M42">
        <v>7.0472599999999996E-2</v>
      </c>
      <c r="N42">
        <v>1.486013</v>
      </c>
      <c r="O42">
        <v>0.56712508185985588</v>
      </c>
      <c r="P42">
        <v>-0.56717539665619732</v>
      </c>
      <c r="Q42">
        <v>-2.6525312971911341</v>
      </c>
      <c r="R42">
        <v>0.39609669457493235</v>
      </c>
      <c r="S42">
        <v>10.937726639733951</v>
      </c>
    </row>
    <row r="43" spans="1:19">
      <c r="A43">
        <v>22814</v>
      </c>
      <c r="B43" t="s">
        <v>12</v>
      </c>
      <c r="C43" s="32" t="s">
        <v>30</v>
      </c>
      <c r="D43" t="s">
        <v>9</v>
      </c>
      <c r="E43">
        <v>2006</v>
      </c>
      <c r="F43">
        <v>6</v>
      </c>
      <c r="G43" s="32">
        <v>61</v>
      </c>
      <c r="H43">
        <v>846</v>
      </c>
      <c r="I43">
        <v>1528</v>
      </c>
      <c r="J43" s="18">
        <v>92</v>
      </c>
      <c r="K43" s="18">
        <v>37</v>
      </c>
      <c r="L43">
        <v>56259.299999999996</v>
      </c>
      <c r="M43">
        <v>6.9848400000000005E-2</v>
      </c>
      <c r="N43">
        <v>1.486013</v>
      </c>
      <c r="O43">
        <v>0.55366492146596857</v>
      </c>
      <c r="P43">
        <v>-0.59119561012024258</v>
      </c>
      <c r="Q43">
        <v>-2.6614280997691484</v>
      </c>
      <c r="R43">
        <v>0.39609669457493235</v>
      </c>
      <c r="S43">
        <v>10.937726639733951</v>
      </c>
    </row>
    <row r="44" spans="1:19">
      <c r="A44">
        <v>22814</v>
      </c>
      <c r="B44" t="s">
        <v>12</v>
      </c>
      <c r="C44" s="32" t="s">
        <v>30</v>
      </c>
      <c r="D44" t="s">
        <v>9</v>
      </c>
      <c r="E44">
        <v>2006</v>
      </c>
      <c r="F44">
        <v>7</v>
      </c>
      <c r="G44" s="32">
        <v>66</v>
      </c>
      <c r="H44">
        <v>753</v>
      </c>
      <c r="I44">
        <v>1523</v>
      </c>
      <c r="J44" s="18">
        <v>327</v>
      </c>
      <c r="K44" s="18">
        <v>0</v>
      </c>
      <c r="L44">
        <v>56259.299999999996</v>
      </c>
      <c r="M44">
        <v>7.8475199999999995E-2</v>
      </c>
      <c r="N44">
        <v>1.486013</v>
      </c>
      <c r="O44">
        <v>0.49441891004596189</v>
      </c>
      <c r="P44">
        <v>-0.70437212509526825</v>
      </c>
      <c r="Q44">
        <v>-2.5449726276750164</v>
      </c>
      <c r="R44">
        <v>0.39609669457493235</v>
      </c>
      <c r="S44">
        <v>10.937726639733951</v>
      </c>
    </row>
    <row r="45" spans="1:19">
      <c r="A45">
        <v>22814</v>
      </c>
      <c r="B45" t="s">
        <v>12</v>
      </c>
      <c r="C45" s="32" t="s">
        <v>30</v>
      </c>
      <c r="D45" t="s">
        <v>9</v>
      </c>
      <c r="E45">
        <v>2006</v>
      </c>
      <c r="F45">
        <v>8</v>
      </c>
      <c r="G45" s="32">
        <v>86</v>
      </c>
      <c r="H45">
        <v>941</v>
      </c>
      <c r="I45">
        <v>1525</v>
      </c>
      <c r="J45" s="18">
        <v>113</v>
      </c>
      <c r="K45" s="18">
        <v>15</v>
      </c>
      <c r="L45">
        <v>56259.299999999996</v>
      </c>
      <c r="M45">
        <v>6.7944000000000004E-2</v>
      </c>
      <c r="N45">
        <v>1.486013</v>
      </c>
      <c r="O45">
        <v>0.61704918032786882</v>
      </c>
      <c r="P45">
        <v>-0.48280654945613244</v>
      </c>
      <c r="Q45">
        <v>-2.6890714425044289</v>
      </c>
      <c r="R45">
        <v>0.39609669457493235</v>
      </c>
      <c r="S45">
        <v>10.937726639733951</v>
      </c>
    </row>
    <row r="46" spans="1:19">
      <c r="A46">
        <v>22814</v>
      </c>
      <c r="B46" t="s">
        <v>12</v>
      </c>
      <c r="C46" s="32" t="s">
        <v>30</v>
      </c>
      <c r="D46" t="s">
        <v>9</v>
      </c>
      <c r="E46">
        <v>2006</v>
      </c>
      <c r="F46">
        <v>9</v>
      </c>
      <c r="G46" s="32">
        <v>134</v>
      </c>
      <c r="H46">
        <v>702</v>
      </c>
      <c r="I46">
        <v>1525</v>
      </c>
      <c r="J46" s="18">
        <v>34</v>
      </c>
      <c r="K46" s="18">
        <v>227</v>
      </c>
      <c r="L46">
        <v>56259.299999999996</v>
      </c>
      <c r="M46">
        <v>7.1756899999999998E-2</v>
      </c>
      <c r="N46">
        <v>1.486013</v>
      </c>
      <c r="O46">
        <v>0.46032786885245902</v>
      </c>
      <c r="P46">
        <v>-0.77581628501570088</v>
      </c>
      <c r="Q46">
        <v>-2.6344712617187933</v>
      </c>
      <c r="R46">
        <v>0.39609669457493235</v>
      </c>
      <c r="S46">
        <v>10.937726639733951</v>
      </c>
    </row>
    <row r="47" spans="1:19">
      <c r="A47">
        <v>22814</v>
      </c>
      <c r="B47" t="s">
        <v>12</v>
      </c>
      <c r="C47" s="32" t="s">
        <v>30</v>
      </c>
      <c r="D47" t="s">
        <v>9</v>
      </c>
      <c r="E47">
        <v>2006</v>
      </c>
      <c r="F47">
        <v>10</v>
      </c>
      <c r="G47" s="32">
        <v>61</v>
      </c>
      <c r="H47">
        <v>1287</v>
      </c>
      <c r="I47">
        <v>1530</v>
      </c>
      <c r="J47" s="18">
        <v>0</v>
      </c>
      <c r="K47" s="18">
        <v>591</v>
      </c>
      <c r="L47">
        <v>56259.299999999996</v>
      </c>
      <c r="M47">
        <v>6.6237199999999996E-2</v>
      </c>
      <c r="N47">
        <v>1.486013</v>
      </c>
      <c r="O47">
        <v>0.8411764705882353</v>
      </c>
      <c r="P47">
        <v>-0.17295380679035446</v>
      </c>
      <c r="Q47">
        <v>-2.7145130403299578</v>
      </c>
      <c r="R47">
        <v>0.39609669457493235</v>
      </c>
      <c r="S47">
        <v>10.937726639733951</v>
      </c>
    </row>
    <row r="48" spans="1:19">
      <c r="A48">
        <v>22814</v>
      </c>
      <c r="B48" t="s">
        <v>12</v>
      </c>
      <c r="C48" s="32" t="s">
        <v>30</v>
      </c>
      <c r="D48" t="s">
        <v>9</v>
      </c>
      <c r="E48">
        <v>2006</v>
      </c>
      <c r="F48">
        <v>11</v>
      </c>
      <c r="G48" s="32">
        <v>122</v>
      </c>
      <c r="H48">
        <v>1605</v>
      </c>
      <c r="I48">
        <v>1530</v>
      </c>
      <c r="J48" s="18">
        <v>0</v>
      </c>
      <c r="K48" s="18">
        <v>894</v>
      </c>
      <c r="L48">
        <v>56259.299999999996</v>
      </c>
      <c r="M48">
        <v>6.4581200000000005E-2</v>
      </c>
      <c r="N48">
        <v>1.486013</v>
      </c>
      <c r="O48">
        <v>1.0490196078431373</v>
      </c>
      <c r="P48">
        <v>4.7856021177635141E-2</v>
      </c>
      <c r="Q48">
        <v>-2.7398319322204316</v>
      </c>
      <c r="R48">
        <v>0.39609669457493235</v>
      </c>
      <c r="S48">
        <v>10.937726639733951</v>
      </c>
    </row>
    <row r="49" spans="1:19">
      <c r="A49">
        <v>22814</v>
      </c>
      <c r="B49" t="s">
        <v>12</v>
      </c>
      <c r="C49" s="32" t="s">
        <v>30</v>
      </c>
      <c r="D49" t="s">
        <v>9</v>
      </c>
      <c r="E49">
        <v>2006</v>
      </c>
      <c r="F49">
        <v>12</v>
      </c>
      <c r="G49" s="32">
        <v>52</v>
      </c>
      <c r="H49">
        <v>2132</v>
      </c>
      <c r="I49">
        <v>1535</v>
      </c>
      <c r="J49" s="18">
        <v>0</v>
      </c>
      <c r="K49" s="18">
        <v>1230</v>
      </c>
      <c r="L49">
        <v>56259.299999999996</v>
      </c>
      <c r="M49">
        <v>6.9972999999999994E-2</v>
      </c>
      <c r="N49">
        <v>1.486013</v>
      </c>
      <c r="O49">
        <v>1.3889250814332248</v>
      </c>
      <c r="P49">
        <v>0.32853012526443764</v>
      </c>
      <c r="Q49">
        <v>-2.6596458256253812</v>
      </c>
      <c r="R49">
        <v>0.39609669457493235</v>
      </c>
      <c r="S49">
        <v>10.937726639733951</v>
      </c>
    </row>
    <row r="50" spans="1:19">
      <c r="A50">
        <v>17166</v>
      </c>
      <c r="B50" t="s">
        <v>13</v>
      </c>
      <c r="C50" s="32" t="s">
        <v>31</v>
      </c>
      <c r="D50" t="s">
        <v>9</v>
      </c>
      <c r="E50">
        <v>2006</v>
      </c>
      <c r="F50">
        <v>1</v>
      </c>
      <c r="G50" s="32">
        <v>25352</v>
      </c>
      <c r="H50">
        <v>210156</v>
      </c>
      <c r="I50">
        <v>267084</v>
      </c>
      <c r="J50" s="19">
        <v>0</v>
      </c>
      <c r="K50" s="19">
        <v>829</v>
      </c>
      <c r="L50">
        <v>50766.671999999991</v>
      </c>
      <c r="M50">
        <v>0.1228621</v>
      </c>
      <c r="N50">
        <v>1.486013</v>
      </c>
      <c r="O50">
        <v>0.78685357415644519</v>
      </c>
      <c r="P50">
        <v>-0.23971310358497114</v>
      </c>
      <c r="Q50">
        <v>-2.0966926907666799</v>
      </c>
      <c r="R50">
        <v>0.39609669457493235</v>
      </c>
      <c r="S50">
        <v>10.834995355270948</v>
      </c>
    </row>
    <row r="51" spans="1:19">
      <c r="A51">
        <v>17166</v>
      </c>
      <c r="B51" t="s">
        <v>13</v>
      </c>
      <c r="C51" s="32" t="s">
        <v>31</v>
      </c>
      <c r="D51" t="s">
        <v>9</v>
      </c>
      <c r="E51">
        <v>2006</v>
      </c>
      <c r="F51">
        <v>2</v>
      </c>
      <c r="G51" s="32">
        <v>22458</v>
      </c>
      <c r="H51">
        <v>161680</v>
      </c>
      <c r="I51">
        <v>266949</v>
      </c>
      <c r="J51" s="19">
        <v>0</v>
      </c>
      <c r="K51" s="19">
        <v>710</v>
      </c>
      <c r="L51">
        <v>50766.671999999991</v>
      </c>
      <c r="M51">
        <v>0.12381590000000001</v>
      </c>
      <c r="N51">
        <v>1.486013</v>
      </c>
      <c r="O51">
        <v>0.605658758789132</v>
      </c>
      <c r="P51">
        <v>-0.50143855582395946</v>
      </c>
      <c r="Q51">
        <v>-2.0889594940220659</v>
      </c>
      <c r="R51">
        <v>0.39609669457493235</v>
      </c>
      <c r="S51">
        <v>10.834995355270948</v>
      </c>
    </row>
    <row r="52" spans="1:19">
      <c r="A52">
        <v>17166</v>
      </c>
      <c r="B52" t="s">
        <v>13</v>
      </c>
      <c r="C52" s="32" t="s">
        <v>31</v>
      </c>
      <c r="D52" t="s">
        <v>9</v>
      </c>
      <c r="E52">
        <v>2006</v>
      </c>
      <c r="F52">
        <v>3</v>
      </c>
      <c r="G52" s="32">
        <v>30002</v>
      </c>
      <c r="H52">
        <v>199136</v>
      </c>
      <c r="I52">
        <v>267440</v>
      </c>
      <c r="J52" s="19">
        <v>0</v>
      </c>
      <c r="K52" s="19">
        <v>835</v>
      </c>
      <c r="L52">
        <v>50766.671999999991</v>
      </c>
      <c r="M52">
        <v>0.12332750000000001</v>
      </c>
      <c r="N52">
        <v>1.486013</v>
      </c>
      <c r="O52">
        <v>0.74460065809153453</v>
      </c>
      <c r="P52">
        <v>-0.2949072337250358</v>
      </c>
      <c r="Q52">
        <v>-2.0929118604278263</v>
      </c>
      <c r="R52">
        <v>0.39609669457493235</v>
      </c>
      <c r="S52">
        <v>10.834995355270948</v>
      </c>
    </row>
    <row r="53" spans="1:19">
      <c r="A53">
        <v>17166</v>
      </c>
      <c r="B53" t="s">
        <v>13</v>
      </c>
      <c r="C53" s="32" t="s">
        <v>31</v>
      </c>
      <c r="D53" t="s">
        <v>9</v>
      </c>
      <c r="E53">
        <v>2006</v>
      </c>
      <c r="F53">
        <v>4</v>
      </c>
      <c r="G53" s="32">
        <v>30405</v>
      </c>
      <c r="H53">
        <v>160141</v>
      </c>
      <c r="I53">
        <v>268565</v>
      </c>
      <c r="J53" s="19">
        <v>0</v>
      </c>
      <c r="K53" s="19">
        <v>461</v>
      </c>
      <c r="L53">
        <v>50766.671999999991</v>
      </c>
      <c r="M53">
        <v>0.1241529</v>
      </c>
      <c r="N53">
        <v>1.486013</v>
      </c>
      <c r="O53">
        <v>0.59628395360527242</v>
      </c>
      <c r="P53">
        <v>-0.51703829315097249</v>
      </c>
      <c r="Q53">
        <v>-2.086241408460662</v>
      </c>
      <c r="R53">
        <v>0.39609669457493235</v>
      </c>
      <c r="S53">
        <v>10.834995355270948</v>
      </c>
    </row>
    <row r="54" spans="1:19">
      <c r="A54">
        <v>17166</v>
      </c>
      <c r="B54" t="s">
        <v>13</v>
      </c>
      <c r="C54" s="32" t="s">
        <v>31</v>
      </c>
      <c r="D54" t="s">
        <v>9</v>
      </c>
      <c r="E54">
        <v>2006</v>
      </c>
      <c r="F54">
        <v>5</v>
      </c>
      <c r="G54" s="32">
        <v>20665</v>
      </c>
      <c r="H54">
        <v>149161</v>
      </c>
      <c r="I54">
        <v>268066</v>
      </c>
      <c r="J54" s="19">
        <v>47</v>
      </c>
      <c r="K54" s="19">
        <v>157</v>
      </c>
      <c r="L54">
        <v>50766.671999999991</v>
      </c>
      <c r="M54">
        <v>0.1295058</v>
      </c>
      <c r="N54">
        <v>1.486013</v>
      </c>
      <c r="O54">
        <v>0.55643386330232103</v>
      </c>
      <c r="P54">
        <v>-0.5862069593500342</v>
      </c>
      <c r="Q54">
        <v>-2.0440296112006937</v>
      </c>
      <c r="R54">
        <v>0.39609669457493235</v>
      </c>
      <c r="S54">
        <v>10.834995355270948</v>
      </c>
    </row>
    <row r="55" spans="1:19">
      <c r="A55">
        <v>17166</v>
      </c>
      <c r="B55" t="s">
        <v>13</v>
      </c>
      <c r="C55" s="32" t="s">
        <v>31</v>
      </c>
      <c r="D55" t="s">
        <v>9</v>
      </c>
      <c r="E55">
        <v>2006</v>
      </c>
      <c r="F55">
        <v>6</v>
      </c>
      <c r="G55" s="32">
        <v>19941</v>
      </c>
      <c r="H55">
        <v>158866</v>
      </c>
      <c r="I55">
        <v>269227</v>
      </c>
      <c r="J55" s="19">
        <v>229</v>
      </c>
      <c r="K55" s="19">
        <v>20</v>
      </c>
      <c r="L55">
        <v>50766.671999999991</v>
      </c>
      <c r="M55">
        <v>0.12732009999999999</v>
      </c>
      <c r="N55">
        <v>1.486013</v>
      </c>
      <c r="O55">
        <v>0.59008197543337038</v>
      </c>
      <c r="P55">
        <v>-0.52749381032134379</v>
      </c>
      <c r="Q55">
        <v>-2.0610508911459959</v>
      </c>
      <c r="R55">
        <v>0.39609669457493235</v>
      </c>
      <c r="S55">
        <v>10.834995355270948</v>
      </c>
    </row>
    <row r="56" spans="1:19">
      <c r="A56">
        <v>17166</v>
      </c>
      <c r="B56" t="s">
        <v>13</v>
      </c>
      <c r="C56" s="32" t="s">
        <v>31</v>
      </c>
      <c r="D56" t="s">
        <v>9</v>
      </c>
      <c r="E56">
        <v>2006</v>
      </c>
      <c r="F56">
        <v>7</v>
      </c>
      <c r="G56" s="32">
        <v>20880</v>
      </c>
      <c r="H56">
        <v>235422</v>
      </c>
      <c r="I56">
        <v>270079</v>
      </c>
      <c r="J56" s="19">
        <v>413</v>
      </c>
      <c r="K56" s="19">
        <v>0</v>
      </c>
      <c r="L56">
        <v>50766.671999999991</v>
      </c>
      <c r="M56">
        <v>0.125111</v>
      </c>
      <c r="N56">
        <v>1.486013</v>
      </c>
      <c r="O56">
        <v>0.87167828672351422</v>
      </c>
      <c r="P56">
        <v>-0.13733486039092255</v>
      </c>
      <c r="Q56">
        <v>-2.078553935718582</v>
      </c>
      <c r="R56">
        <v>0.39609669457493235</v>
      </c>
      <c r="S56">
        <v>10.834995355270948</v>
      </c>
    </row>
    <row r="57" spans="1:19">
      <c r="A57">
        <v>17166</v>
      </c>
      <c r="B57" t="s">
        <v>13</v>
      </c>
      <c r="C57" s="32" t="s">
        <v>31</v>
      </c>
      <c r="D57" t="s">
        <v>9</v>
      </c>
      <c r="E57">
        <v>2006</v>
      </c>
      <c r="F57">
        <v>8</v>
      </c>
      <c r="G57" s="32">
        <v>21531</v>
      </c>
      <c r="H57">
        <v>233867</v>
      </c>
      <c r="I57">
        <v>270389</v>
      </c>
      <c r="J57" s="19">
        <v>246</v>
      </c>
      <c r="K57" s="19">
        <v>0</v>
      </c>
      <c r="L57">
        <v>50766.671999999991</v>
      </c>
      <c r="M57">
        <v>0.1242735</v>
      </c>
      <c r="N57">
        <v>1.486013</v>
      </c>
      <c r="O57">
        <v>0.86492793715720684</v>
      </c>
      <c r="P57">
        <v>-0.14510908516554652</v>
      </c>
      <c r="Q57">
        <v>-2.0852704970802791</v>
      </c>
      <c r="R57">
        <v>0.39609669457493235</v>
      </c>
      <c r="S57">
        <v>10.834995355270948</v>
      </c>
    </row>
    <row r="58" spans="1:19">
      <c r="A58">
        <v>17166</v>
      </c>
      <c r="B58" t="s">
        <v>13</v>
      </c>
      <c r="C58" s="32" t="s">
        <v>31</v>
      </c>
      <c r="D58" t="s">
        <v>9</v>
      </c>
      <c r="E58">
        <v>2006</v>
      </c>
      <c r="F58">
        <v>9</v>
      </c>
      <c r="G58" s="32">
        <v>19385</v>
      </c>
      <c r="H58">
        <v>164020</v>
      </c>
      <c r="I58">
        <v>270942</v>
      </c>
      <c r="J58" s="19">
        <v>127</v>
      </c>
      <c r="K58" s="19">
        <v>105</v>
      </c>
      <c r="L58">
        <v>50766.671999999991</v>
      </c>
      <c r="M58">
        <v>0.12716420000000001</v>
      </c>
      <c r="N58">
        <v>1.486013</v>
      </c>
      <c r="O58">
        <v>0.60536941485631612</v>
      </c>
      <c r="P58">
        <v>-0.50191640422520778</v>
      </c>
      <c r="Q58">
        <v>-2.0622761142305062</v>
      </c>
      <c r="R58">
        <v>0.39609669457493235</v>
      </c>
      <c r="S58">
        <v>10.834995355270948</v>
      </c>
    </row>
    <row r="59" spans="1:19">
      <c r="A59">
        <v>17166</v>
      </c>
      <c r="B59" t="s">
        <v>13</v>
      </c>
      <c r="C59" s="32" t="s">
        <v>31</v>
      </c>
      <c r="D59" t="s">
        <v>9</v>
      </c>
      <c r="E59">
        <v>2006</v>
      </c>
      <c r="F59">
        <v>10</v>
      </c>
      <c r="G59" s="32">
        <v>28733</v>
      </c>
      <c r="H59">
        <v>145284</v>
      </c>
      <c r="I59">
        <v>271404</v>
      </c>
      <c r="J59" s="19">
        <v>0</v>
      </c>
      <c r="K59" s="19">
        <v>385</v>
      </c>
      <c r="L59">
        <v>50766.671999999991</v>
      </c>
      <c r="M59">
        <v>0.12925439999999999</v>
      </c>
      <c r="N59">
        <v>1.486013</v>
      </c>
      <c r="O59">
        <v>0.53530530132201437</v>
      </c>
      <c r="P59">
        <v>-0.62491803817207137</v>
      </c>
      <c r="Q59">
        <v>-2.0459727236198417</v>
      </c>
      <c r="R59">
        <v>0.39609669457493235</v>
      </c>
      <c r="S59">
        <v>10.834995355270948</v>
      </c>
    </row>
    <row r="60" spans="1:19">
      <c r="A60">
        <v>17166</v>
      </c>
      <c r="B60" t="s">
        <v>13</v>
      </c>
      <c r="C60" s="32" t="s">
        <v>31</v>
      </c>
      <c r="D60" t="s">
        <v>9</v>
      </c>
      <c r="E60">
        <v>2006</v>
      </c>
      <c r="F60">
        <v>11</v>
      </c>
      <c r="G60" s="32">
        <v>26654</v>
      </c>
      <c r="H60">
        <v>172538</v>
      </c>
      <c r="I60">
        <v>272464</v>
      </c>
      <c r="J60" s="19">
        <v>0</v>
      </c>
      <c r="K60" s="19">
        <v>652</v>
      </c>
      <c r="L60">
        <v>50766.671999999991</v>
      </c>
      <c r="M60">
        <v>0.12609090000000001</v>
      </c>
      <c r="N60">
        <v>1.486013</v>
      </c>
      <c r="O60">
        <v>0.63325063127605852</v>
      </c>
      <c r="P60">
        <v>-0.45688899321800919</v>
      </c>
      <c r="Q60">
        <v>-2.0707522035637318</v>
      </c>
      <c r="R60">
        <v>0.39609669457493235</v>
      </c>
      <c r="S60">
        <v>10.834995355270948</v>
      </c>
    </row>
    <row r="61" spans="1:19">
      <c r="A61">
        <v>17166</v>
      </c>
      <c r="B61" t="s">
        <v>13</v>
      </c>
      <c r="C61" s="32" t="s">
        <v>31</v>
      </c>
      <c r="D61" t="s">
        <v>9</v>
      </c>
      <c r="E61">
        <v>2006</v>
      </c>
      <c r="F61">
        <v>12</v>
      </c>
      <c r="G61" s="32">
        <v>20524</v>
      </c>
      <c r="H61">
        <v>223925</v>
      </c>
      <c r="I61">
        <v>272485</v>
      </c>
      <c r="J61" s="19">
        <v>0</v>
      </c>
      <c r="K61" s="19">
        <v>938</v>
      </c>
      <c r="L61">
        <v>50766.671999999991</v>
      </c>
      <c r="M61">
        <v>0.1243013</v>
      </c>
      <c r="N61">
        <v>1.486013</v>
      </c>
      <c r="O61">
        <v>0.82178835532231131</v>
      </c>
      <c r="P61">
        <v>-0.19627239235540056</v>
      </c>
      <c r="Q61">
        <v>-2.0850468219521812</v>
      </c>
      <c r="R61">
        <v>0.39609669457493235</v>
      </c>
      <c r="S61">
        <v>10.834995355270948</v>
      </c>
    </row>
    <row r="62" spans="1:19">
      <c r="A62">
        <v>19840</v>
      </c>
      <c r="B62" t="s">
        <v>14</v>
      </c>
      <c r="C62" s="32" t="s">
        <v>32</v>
      </c>
      <c r="D62" t="s">
        <v>9</v>
      </c>
      <c r="E62">
        <v>2006</v>
      </c>
      <c r="F62">
        <v>1</v>
      </c>
      <c r="G62" s="32">
        <v>1981</v>
      </c>
      <c r="H62">
        <v>28036</v>
      </c>
      <c r="I62">
        <v>16713</v>
      </c>
      <c r="J62" s="24">
        <v>0</v>
      </c>
      <c r="K62" s="24">
        <v>1031</v>
      </c>
      <c r="L62">
        <v>40682.316000000006</v>
      </c>
      <c r="M62">
        <v>9.5538100000000001E-2</v>
      </c>
      <c r="N62">
        <v>1.2031480000000001</v>
      </c>
      <c r="O62">
        <v>1.6774965595644109</v>
      </c>
      <c r="P62">
        <v>0.51730253893129019</v>
      </c>
      <c r="Q62">
        <v>-2.3482301581764116</v>
      </c>
      <c r="R62">
        <v>0.18494145519440369</v>
      </c>
      <c r="S62">
        <v>10.613548780695314</v>
      </c>
    </row>
    <row r="63" spans="1:19">
      <c r="A63">
        <v>19840</v>
      </c>
      <c r="B63" t="s">
        <v>14</v>
      </c>
      <c r="C63" s="32" t="s">
        <v>32</v>
      </c>
      <c r="D63" t="s">
        <v>9</v>
      </c>
      <c r="E63">
        <v>2006</v>
      </c>
      <c r="F63">
        <v>2</v>
      </c>
      <c r="G63" s="32">
        <v>2965</v>
      </c>
      <c r="H63">
        <v>26070</v>
      </c>
      <c r="I63">
        <v>13827</v>
      </c>
      <c r="J63" s="24">
        <v>0</v>
      </c>
      <c r="K63" s="24">
        <v>778</v>
      </c>
      <c r="L63">
        <v>40682.316000000006</v>
      </c>
      <c r="M63">
        <v>0.10913399999999999</v>
      </c>
      <c r="N63">
        <v>1.2031480000000001</v>
      </c>
      <c r="O63">
        <v>1.8854415274463008</v>
      </c>
      <c r="P63">
        <v>0.63416202553892953</v>
      </c>
      <c r="Q63">
        <v>-2.2151787939963787</v>
      </c>
      <c r="R63">
        <v>0.18494145519440369</v>
      </c>
      <c r="S63">
        <v>10.613548780695314</v>
      </c>
    </row>
    <row r="64" spans="1:19">
      <c r="A64">
        <v>19840</v>
      </c>
      <c r="B64" t="s">
        <v>14</v>
      </c>
      <c r="C64" s="32" t="s">
        <v>32</v>
      </c>
      <c r="D64" t="s">
        <v>9</v>
      </c>
      <c r="E64">
        <v>2006</v>
      </c>
      <c r="F64">
        <v>3</v>
      </c>
      <c r="G64" s="32">
        <v>2664</v>
      </c>
      <c r="H64">
        <v>21923</v>
      </c>
      <c r="I64">
        <v>16916</v>
      </c>
      <c r="J64" s="24">
        <v>0</v>
      </c>
      <c r="K64" s="24">
        <v>829</v>
      </c>
      <c r="L64">
        <v>40682.316000000006</v>
      </c>
      <c r="M64">
        <v>0.11104269999999999</v>
      </c>
      <c r="N64">
        <v>1.2031480000000001</v>
      </c>
      <c r="O64">
        <v>1.2959919602742964</v>
      </c>
      <c r="P64">
        <v>0.25927639441878597</v>
      </c>
      <c r="Q64">
        <v>-2.1978404669573015</v>
      </c>
      <c r="R64">
        <v>0.18494145519440369</v>
      </c>
      <c r="S64">
        <v>10.613548780695314</v>
      </c>
    </row>
    <row r="65" spans="1:19">
      <c r="A65">
        <v>19840</v>
      </c>
      <c r="B65" t="s">
        <v>14</v>
      </c>
      <c r="C65" s="32" t="s">
        <v>32</v>
      </c>
      <c r="D65" t="s">
        <v>9</v>
      </c>
      <c r="E65">
        <v>2006</v>
      </c>
      <c r="F65">
        <v>4</v>
      </c>
      <c r="G65" s="32">
        <v>3495</v>
      </c>
      <c r="H65">
        <v>18803</v>
      </c>
      <c r="I65">
        <v>16980</v>
      </c>
      <c r="J65" s="24">
        <v>0</v>
      </c>
      <c r="K65" s="24">
        <v>449</v>
      </c>
      <c r="L65">
        <v>40682.316000000006</v>
      </c>
      <c r="M65">
        <v>0.1130849</v>
      </c>
      <c r="N65">
        <v>1.2031480000000001</v>
      </c>
      <c r="O65">
        <v>1.10736160188457</v>
      </c>
      <c r="P65">
        <v>0.10198025069013616</v>
      </c>
      <c r="Q65">
        <v>-2.1796164149413308</v>
      </c>
      <c r="R65">
        <v>0.18494145519440369</v>
      </c>
      <c r="S65">
        <v>10.613548780695314</v>
      </c>
    </row>
    <row r="66" spans="1:19">
      <c r="A66">
        <v>19840</v>
      </c>
      <c r="B66" t="s">
        <v>14</v>
      </c>
      <c r="C66" s="32" t="s">
        <v>32</v>
      </c>
      <c r="D66" t="s">
        <v>9</v>
      </c>
      <c r="E66">
        <v>2006</v>
      </c>
      <c r="F66">
        <v>5</v>
      </c>
      <c r="G66" s="32">
        <v>2765</v>
      </c>
      <c r="H66">
        <v>16736</v>
      </c>
      <c r="I66">
        <v>17110</v>
      </c>
      <c r="J66" s="24">
        <v>35</v>
      </c>
      <c r="K66" s="24">
        <v>134</v>
      </c>
      <c r="L66">
        <v>40682.316000000006</v>
      </c>
      <c r="M66">
        <v>0.1147806</v>
      </c>
      <c r="N66">
        <v>1.2031480000000001</v>
      </c>
      <c r="O66">
        <v>0.9781414377556984</v>
      </c>
      <c r="P66">
        <v>-2.210100002158974E-2</v>
      </c>
      <c r="Q66">
        <v>-2.1647327989240517</v>
      </c>
      <c r="R66">
        <v>0.18494145519440369</v>
      </c>
      <c r="S66">
        <v>10.613548780695314</v>
      </c>
    </row>
    <row r="67" spans="1:19">
      <c r="A67">
        <v>19840</v>
      </c>
      <c r="B67" t="s">
        <v>14</v>
      </c>
      <c r="C67" s="32" t="s">
        <v>32</v>
      </c>
      <c r="D67" t="s">
        <v>9</v>
      </c>
      <c r="E67">
        <v>2006</v>
      </c>
      <c r="F67">
        <v>6</v>
      </c>
      <c r="G67" s="32">
        <v>3240</v>
      </c>
      <c r="H67">
        <v>22368</v>
      </c>
      <c r="I67">
        <v>17199</v>
      </c>
      <c r="J67" s="24">
        <v>200</v>
      </c>
      <c r="K67" s="24">
        <v>8</v>
      </c>
      <c r="L67">
        <v>40682.316000000006</v>
      </c>
      <c r="M67">
        <v>0.11537310000000001</v>
      </c>
      <c r="N67">
        <v>1.2031480000000001</v>
      </c>
      <c r="O67">
        <v>1.3005407291121578</v>
      </c>
      <c r="P67">
        <v>0.26278012345704449</v>
      </c>
      <c r="Q67">
        <v>-2.1595840543337235</v>
      </c>
      <c r="R67">
        <v>0.18494145519440369</v>
      </c>
      <c r="S67">
        <v>10.613548780695314</v>
      </c>
    </row>
    <row r="68" spans="1:19">
      <c r="A68">
        <v>19840</v>
      </c>
      <c r="B68" t="s">
        <v>14</v>
      </c>
      <c r="C68" s="32" t="s">
        <v>32</v>
      </c>
      <c r="D68" t="s">
        <v>9</v>
      </c>
      <c r="E68">
        <v>2006</v>
      </c>
      <c r="F68">
        <v>7</v>
      </c>
      <c r="G68" s="32">
        <v>2015</v>
      </c>
      <c r="H68">
        <v>28955</v>
      </c>
      <c r="I68">
        <v>17296</v>
      </c>
      <c r="J68" s="24">
        <v>407</v>
      </c>
      <c r="K68" s="24">
        <v>0</v>
      </c>
      <c r="L68">
        <v>40682.316000000006</v>
      </c>
      <c r="M68">
        <v>0.1083974</v>
      </c>
      <c r="N68">
        <v>1.2031480000000001</v>
      </c>
      <c r="O68">
        <v>1.674086493987049</v>
      </c>
      <c r="P68">
        <v>0.51526763978090062</v>
      </c>
      <c r="Q68">
        <v>-2.2219511755040942</v>
      </c>
      <c r="R68">
        <v>0.18494145519440369</v>
      </c>
      <c r="S68">
        <v>10.613548780695314</v>
      </c>
    </row>
    <row r="69" spans="1:19">
      <c r="A69">
        <v>19840</v>
      </c>
      <c r="B69" t="s">
        <v>14</v>
      </c>
      <c r="C69" s="32" t="s">
        <v>32</v>
      </c>
      <c r="D69" t="s">
        <v>9</v>
      </c>
      <c r="E69">
        <v>2006</v>
      </c>
      <c r="F69">
        <v>8</v>
      </c>
      <c r="G69" s="32">
        <v>2937</v>
      </c>
      <c r="H69">
        <v>31408</v>
      </c>
      <c r="I69">
        <v>17383</v>
      </c>
      <c r="J69" s="24">
        <v>206</v>
      </c>
      <c r="K69" s="24">
        <v>0</v>
      </c>
      <c r="L69">
        <v>40682.316000000006</v>
      </c>
      <c r="M69">
        <v>0.1077964</v>
      </c>
      <c r="N69">
        <v>1.2031480000000001</v>
      </c>
      <c r="O69">
        <v>1.8068227578668814</v>
      </c>
      <c r="P69">
        <v>0.59156992039470191</v>
      </c>
      <c r="Q69">
        <v>-2.2275110162411238</v>
      </c>
      <c r="R69">
        <v>0.18494145519440369</v>
      </c>
      <c r="S69">
        <v>10.613548780695314</v>
      </c>
    </row>
    <row r="70" spans="1:19">
      <c r="A70">
        <v>19840</v>
      </c>
      <c r="B70" t="s">
        <v>14</v>
      </c>
      <c r="C70" s="32" t="s">
        <v>32</v>
      </c>
      <c r="D70" t="s">
        <v>9</v>
      </c>
      <c r="E70">
        <v>2006</v>
      </c>
      <c r="F70">
        <v>9</v>
      </c>
      <c r="G70" s="32">
        <v>2513</v>
      </c>
      <c r="H70">
        <v>26245</v>
      </c>
      <c r="I70">
        <v>17445</v>
      </c>
      <c r="J70" s="24">
        <v>60</v>
      </c>
      <c r="K70" s="24">
        <v>133</v>
      </c>
      <c r="L70">
        <v>40682.316000000006</v>
      </c>
      <c r="M70">
        <v>0.1094398</v>
      </c>
      <c r="N70">
        <v>1.2031480000000001</v>
      </c>
      <c r="O70">
        <v>1.5044425336772713</v>
      </c>
      <c r="P70">
        <v>0.40842242006552559</v>
      </c>
      <c r="Q70">
        <v>-2.2123806525949465</v>
      </c>
      <c r="R70">
        <v>0.18494145519440369</v>
      </c>
      <c r="S70">
        <v>10.613548780695314</v>
      </c>
    </row>
    <row r="71" spans="1:19">
      <c r="A71">
        <v>19840</v>
      </c>
      <c r="B71" t="s">
        <v>14</v>
      </c>
      <c r="C71" s="32" t="s">
        <v>32</v>
      </c>
      <c r="D71" t="s">
        <v>9</v>
      </c>
      <c r="E71">
        <v>2006</v>
      </c>
      <c r="F71">
        <v>10</v>
      </c>
      <c r="G71" s="32">
        <v>1983</v>
      </c>
      <c r="H71">
        <v>16652</v>
      </c>
      <c r="I71">
        <v>17495</v>
      </c>
      <c r="J71" s="24">
        <v>1</v>
      </c>
      <c r="K71" s="24">
        <v>448</v>
      </c>
      <c r="L71">
        <v>40682.316000000006</v>
      </c>
      <c r="M71">
        <v>0.1152432</v>
      </c>
      <c r="N71">
        <v>1.2031480000000001</v>
      </c>
      <c r="O71">
        <v>0.95181480422977993</v>
      </c>
      <c r="P71">
        <v>-4.9384796486922351E-2</v>
      </c>
      <c r="Q71">
        <v>-2.160710601015273</v>
      </c>
      <c r="R71">
        <v>0.18494145519440369</v>
      </c>
      <c r="S71">
        <v>10.613548780695314</v>
      </c>
    </row>
    <row r="72" spans="1:19">
      <c r="A72">
        <v>19840</v>
      </c>
      <c r="B72" t="s">
        <v>14</v>
      </c>
      <c r="C72" s="32" t="s">
        <v>32</v>
      </c>
      <c r="D72" t="s">
        <v>9</v>
      </c>
      <c r="E72">
        <v>2006</v>
      </c>
      <c r="F72">
        <v>11</v>
      </c>
      <c r="G72" s="32">
        <v>2195</v>
      </c>
      <c r="H72">
        <v>16977</v>
      </c>
      <c r="I72">
        <v>17567</v>
      </c>
      <c r="J72" s="24">
        <v>0</v>
      </c>
      <c r="K72" s="24">
        <v>727</v>
      </c>
      <c r="L72">
        <v>40682.316000000006</v>
      </c>
      <c r="M72">
        <v>0.1149771</v>
      </c>
      <c r="N72">
        <v>1.2031480000000001</v>
      </c>
      <c r="O72">
        <v>0.96641429953890823</v>
      </c>
      <c r="P72">
        <v>-3.4162655202749401E-2</v>
      </c>
      <c r="Q72">
        <v>-2.1630223008827669</v>
      </c>
      <c r="R72">
        <v>0.18494145519440369</v>
      </c>
      <c r="S72">
        <v>10.613548780695314</v>
      </c>
    </row>
    <row r="73" spans="1:19">
      <c r="A73">
        <v>19840</v>
      </c>
      <c r="B73" t="s">
        <v>14</v>
      </c>
      <c r="C73" s="32" t="s">
        <v>32</v>
      </c>
      <c r="D73" t="s">
        <v>9</v>
      </c>
      <c r="E73">
        <v>2006</v>
      </c>
      <c r="F73">
        <v>12</v>
      </c>
      <c r="G73" s="32">
        <v>2077</v>
      </c>
      <c r="H73">
        <v>26736</v>
      </c>
      <c r="I73">
        <v>17652</v>
      </c>
      <c r="J73" s="24">
        <v>0</v>
      </c>
      <c r="K73" s="24">
        <v>1123</v>
      </c>
      <c r="L73">
        <v>40682.316000000006</v>
      </c>
      <c r="M73">
        <v>7.5255299999999997E-2</v>
      </c>
      <c r="N73">
        <v>1.2031480000000001</v>
      </c>
      <c r="O73">
        <v>1.5146159075458872</v>
      </c>
      <c r="P73">
        <v>0.4151618804457371</v>
      </c>
      <c r="Q73">
        <v>-2.5868689459396736</v>
      </c>
      <c r="R73">
        <v>0.18494145519440369</v>
      </c>
      <c r="S73">
        <v>10.613548780695314</v>
      </c>
    </row>
    <row r="74" spans="1:19">
      <c r="A74">
        <v>20332</v>
      </c>
      <c r="B74" t="s">
        <v>15</v>
      </c>
      <c r="C74" s="32" t="s">
        <v>33</v>
      </c>
      <c r="D74" t="s">
        <v>9</v>
      </c>
      <c r="E74">
        <v>2006</v>
      </c>
      <c r="F74">
        <v>1</v>
      </c>
      <c r="G74" s="32">
        <v>440</v>
      </c>
      <c r="H74">
        <v>5634</v>
      </c>
      <c r="I74">
        <v>4061</v>
      </c>
      <c r="J74" s="8">
        <v>0</v>
      </c>
      <c r="K74" s="8">
        <v>1145</v>
      </c>
      <c r="L74">
        <v>45974.423999999999</v>
      </c>
      <c r="M74">
        <v>7.5654299999999994E-2</v>
      </c>
      <c r="N74">
        <v>1.486013</v>
      </c>
      <c r="O74">
        <v>1.3873430189608471</v>
      </c>
      <c r="P74">
        <v>0.32739042075002012</v>
      </c>
      <c r="Q74">
        <v>-2.5815809996493306</v>
      </c>
      <c r="R74">
        <v>0.39609669457493235</v>
      </c>
      <c r="S74">
        <v>10.735840520845915</v>
      </c>
    </row>
    <row r="75" spans="1:19">
      <c r="A75">
        <v>20332</v>
      </c>
      <c r="B75" t="s">
        <v>15</v>
      </c>
      <c r="C75" s="32" t="s">
        <v>33</v>
      </c>
      <c r="D75" t="s">
        <v>9</v>
      </c>
      <c r="E75">
        <v>2006</v>
      </c>
      <c r="F75">
        <v>2</v>
      </c>
      <c r="G75" s="32">
        <v>378</v>
      </c>
      <c r="H75">
        <v>5593</v>
      </c>
      <c r="I75">
        <v>4062</v>
      </c>
      <c r="J75" s="8">
        <v>0</v>
      </c>
      <c r="K75" s="8">
        <v>941</v>
      </c>
      <c r="L75">
        <v>45974.423999999999</v>
      </c>
      <c r="M75">
        <v>7.3264399999999993E-2</v>
      </c>
      <c r="N75">
        <v>1.486013</v>
      </c>
      <c r="O75">
        <v>1.3769079271294928</v>
      </c>
      <c r="P75">
        <v>0.31984035268125793</v>
      </c>
      <c r="Q75">
        <v>-2.613680463374942</v>
      </c>
      <c r="R75">
        <v>0.39609669457493235</v>
      </c>
      <c r="S75">
        <v>10.735840520845915</v>
      </c>
    </row>
    <row r="76" spans="1:19">
      <c r="A76">
        <v>20332</v>
      </c>
      <c r="B76" t="s">
        <v>15</v>
      </c>
      <c r="C76" s="32" t="s">
        <v>33</v>
      </c>
      <c r="D76" t="s">
        <v>9</v>
      </c>
      <c r="E76">
        <v>2006</v>
      </c>
      <c r="F76">
        <v>3</v>
      </c>
      <c r="G76" s="32">
        <v>227</v>
      </c>
      <c r="H76">
        <v>4943</v>
      </c>
      <c r="I76">
        <v>4065</v>
      </c>
      <c r="J76" s="8">
        <v>0</v>
      </c>
      <c r="K76" s="8">
        <v>1090</v>
      </c>
      <c r="L76">
        <v>45974.423999999999</v>
      </c>
      <c r="M76">
        <v>7.4079599999999995E-2</v>
      </c>
      <c r="N76">
        <v>1.486013</v>
      </c>
      <c r="O76">
        <v>1.215990159901599</v>
      </c>
      <c r="P76">
        <v>0.1955586913250483</v>
      </c>
      <c r="Q76">
        <v>-2.6026150882268255</v>
      </c>
      <c r="R76">
        <v>0.39609669457493235</v>
      </c>
      <c r="S76">
        <v>10.735840520845915</v>
      </c>
    </row>
    <row r="77" spans="1:19">
      <c r="A77">
        <v>20332</v>
      </c>
      <c r="B77" t="s">
        <v>15</v>
      </c>
      <c r="C77" s="32" t="s">
        <v>33</v>
      </c>
      <c r="D77" t="s">
        <v>9</v>
      </c>
      <c r="E77">
        <v>2006</v>
      </c>
      <c r="F77">
        <v>4</v>
      </c>
      <c r="G77" s="32">
        <v>257</v>
      </c>
      <c r="H77">
        <v>4352</v>
      </c>
      <c r="I77">
        <v>4062</v>
      </c>
      <c r="J77" s="8">
        <v>0</v>
      </c>
      <c r="K77" s="8">
        <v>701</v>
      </c>
      <c r="L77">
        <v>45974.423999999999</v>
      </c>
      <c r="M77">
        <v>7.5458499999999998E-2</v>
      </c>
      <c r="N77">
        <v>1.486013</v>
      </c>
      <c r="O77">
        <v>1.0713934022648941</v>
      </c>
      <c r="P77">
        <v>6.8960046395448518E-2</v>
      </c>
      <c r="Q77">
        <v>-2.5841724427246469</v>
      </c>
      <c r="R77">
        <v>0.39609669457493235</v>
      </c>
      <c r="S77">
        <v>10.735840520845915</v>
      </c>
    </row>
    <row r="78" spans="1:19">
      <c r="A78">
        <v>20332</v>
      </c>
      <c r="B78" t="s">
        <v>15</v>
      </c>
      <c r="C78" s="32" t="s">
        <v>33</v>
      </c>
      <c r="D78" t="s">
        <v>9</v>
      </c>
      <c r="E78">
        <v>2006</v>
      </c>
      <c r="F78">
        <v>5</v>
      </c>
      <c r="G78" s="32">
        <v>271</v>
      </c>
      <c r="H78">
        <v>3050</v>
      </c>
      <c r="I78">
        <v>4069</v>
      </c>
      <c r="J78" s="8">
        <v>0</v>
      </c>
      <c r="K78" s="8">
        <v>341</v>
      </c>
      <c r="L78">
        <v>45974.423999999999</v>
      </c>
      <c r="M78">
        <v>8.0673599999999998E-2</v>
      </c>
      <c r="N78">
        <v>1.486013</v>
      </c>
      <c r="O78">
        <v>0.74956991889899238</v>
      </c>
      <c r="P78">
        <v>-0.28825567840023264</v>
      </c>
      <c r="Q78">
        <v>-2.5173438947738624</v>
      </c>
      <c r="R78">
        <v>0.39609669457493235</v>
      </c>
      <c r="S78">
        <v>10.735840520845915</v>
      </c>
    </row>
    <row r="79" spans="1:19">
      <c r="A79">
        <v>20332</v>
      </c>
      <c r="B79" t="s">
        <v>15</v>
      </c>
      <c r="C79" s="32" t="s">
        <v>33</v>
      </c>
      <c r="D79" t="s">
        <v>9</v>
      </c>
      <c r="E79">
        <v>2006</v>
      </c>
      <c r="F79">
        <v>6</v>
      </c>
      <c r="G79" s="32">
        <v>446</v>
      </c>
      <c r="H79">
        <v>2551</v>
      </c>
      <c r="I79">
        <v>4085</v>
      </c>
      <c r="J79" s="8">
        <v>57</v>
      </c>
      <c r="K79" s="8">
        <v>69</v>
      </c>
      <c r="L79">
        <v>45974.423999999999</v>
      </c>
      <c r="M79">
        <v>8.6201100000000003E-2</v>
      </c>
      <c r="N79">
        <v>1.486013</v>
      </c>
      <c r="O79">
        <v>0.62447980416156668</v>
      </c>
      <c r="P79">
        <v>-0.47083628915229192</v>
      </c>
      <c r="Q79">
        <v>-2.4510723403730292</v>
      </c>
      <c r="R79">
        <v>0.39609669457493235</v>
      </c>
      <c r="S79">
        <v>10.735840520845915</v>
      </c>
    </row>
    <row r="80" spans="1:19">
      <c r="A80">
        <v>20332</v>
      </c>
      <c r="B80" t="s">
        <v>15</v>
      </c>
      <c r="C80" s="32" t="s">
        <v>33</v>
      </c>
      <c r="D80" t="s">
        <v>9</v>
      </c>
      <c r="E80">
        <v>2006</v>
      </c>
      <c r="F80">
        <v>7</v>
      </c>
      <c r="G80" s="32">
        <v>246</v>
      </c>
      <c r="H80">
        <v>2775</v>
      </c>
      <c r="I80">
        <v>4063</v>
      </c>
      <c r="J80" s="8">
        <v>215</v>
      </c>
      <c r="K80" s="8">
        <v>6</v>
      </c>
      <c r="L80">
        <v>45974.423999999999</v>
      </c>
      <c r="M80">
        <v>8.5875499999999994E-2</v>
      </c>
      <c r="N80">
        <v>1.486013</v>
      </c>
      <c r="O80">
        <v>0.68299286241693336</v>
      </c>
      <c r="P80">
        <v>-0.38127086980719177</v>
      </c>
      <c r="Q80">
        <v>-2.4548567060402711</v>
      </c>
      <c r="R80">
        <v>0.39609669457493235</v>
      </c>
      <c r="S80">
        <v>10.735840520845915</v>
      </c>
    </row>
    <row r="81" spans="1:19">
      <c r="A81">
        <v>20332</v>
      </c>
      <c r="B81" t="s">
        <v>15</v>
      </c>
      <c r="C81" s="32" t="s">
        <v>33</v>
      </c>
      <c r="D81" t="s">
        <v>9</v>
      </c>
      <c r="E81">
        <v>2006</v>
      </c>
      <c r="F81">
        <v>8</v>
      </c>
      <c r="G81" s="32">
        <v>423</v>
      </c>
      <c r="H81">
        <v>3076</v>
      </c>
      <c r="I81">
        <v>4117</v>
      </c>
      <c r="J81" s="8">
        <v>58</v>
      </c>
      <c r="K81" s="8">
        <v>16</v>
      </c>
      <c r="L81">
        <v>45974.423999999999</v>
      </c>
      <c r="M81">
        <v>6.6134899999999996E-2</v>
      </c>
      <c r="N81">
        <v>1.486013</v>
      </c>
      <c r="O81">
        <v>0.74714598008258437</v>
      </c>
      <c r="P81">
        <v>-0.29149469114437015</v>
      </c>
      <c r="Q81">
        <v>-2.7160586835639373</v>
      </c>
      <c r="R81">
        <v>0.39609669457493235</v>
      </c>
      <c r="S81">
        <v>10.735840520845915</v>
      </c>
    </row>
    <row r="82" spans="1:19">
      <c r="A82">
        <v>20332</v>
      </c>
      <c r="B82" t="s">
        <v>15</v>
      </c>
      <c r="C82" s="32" t="s">
        <v>33</v>
      </c>
      <c r="D82" t="s">
        <v>9</v>
      </c>
      <c r="E82">
        <v>2006</v>
      </c>
      <c r="F82">
        <v>9</v>
      </c>
      <c r="G82" s="32">
        <v>339</v>
      </c>
      <c r="H82">
        <v>3106</v>
      </c>
      <c r="I82">
        <v>4125</v>
      </c>
      <c r="J82" s="8">
        <v>13</v>
      </c>
      <c r="K82" s="8">
        <v>250</v>
      </c>
      <c r="L82">
        <v>45974.423999999999</v>
      </c>
      <c r="M82">
        <v>8.1714200000000001E-2</v>
      </c>
      <c r="N82">
        <v>1.486013</v>
      </c>
      <c r="O82">
        <v>0.75296969696969696</v>
      </c>
      <c r="P82">
        <v>-0.28373029506014902</v>
      </c>
      <c r="Q82">
        <v>-2.5045274856092514</v>
      </c>
      <c r="R82">
        <v>0.39609669457493235</v>
      </c>
      <c r="S82">
        <v>10.735840520845915</v>
      </c>
    </row>
    <row r="83" spans="1:19">
      <c r="A83">
        <v>20332</v>
      </c>
      <c r="B83" t="s">
        <v>15</v>
      </c>
      <c r="C83" s="32" t="s">
        <v>33</v>
      </c>
      <c r="D83" t="s">
        <v>9</v>
      </c>
      <c r="E83">
        <v>2006</v>
      </c>
      <c r="F83">
        <v>10</v>
      </c>
      <c r="G83" s="32">
        <v>210</v>
      </c>
      <c r="H83">
        <v>3076</v>
      </c>
      <c r="I83">
        <v>4123</v>
      </c>
      <c r="J83" s="8">
        <v>0</v>
      </c>
      <c r="K83" s="8">
        <v>522</v>
      </c>
      <c r="L83">
        <v>45974.423999999999</v>
      </c>
      <c r="M83">
        <v>8.0936499999999995E-2</v>
      </c>
      <c r="N83">
        <v>1.486013</v>
      </c>
      <c r="O83">
        <v>0.74605869512490908</v>
      </c>
      <c r="P83">
        <v>-0.29295100208136537</v>
      </c>
      <c r="Q83">
        <v>-2.5140903823769616</v>
      </c>
      <c r="R83">
        <v>0.39609669457493235</v>
      </c>
      <c r="S83">
        <v>10.735840520845915</v>
      </c>
    </row>
    <row r="84" spans="1:19">
      <c r="A84">
        <v>20332</v>
      </c>
      <c r="B84" t="s">
        <v>15</v>
      </c>
      <c r="C84" s="32" t="s">
        <v>33</v>
      </c>
      <c r="D84" t="s">
        <v>9</v>
      </c>
      <c r="E84">
        <v>2006</v>
      </c>
      <c r="F84">
        <v>11</v>
      </c>
      <c r="G84" s="32">
        <v>262</v>
      </c>
      <c r="H84">
        <v>3400</v>
      </c>
      <c r="I84">
        <v>4015</v>
      </c>
      <c r="J84" s="8">
        <v>0</v>
      </c>
      <c r="K84" s="8">
        <v>817</v>
      </c>
      <c r="L84">
        <v>45974.423999999999</v>
      </c>
      <c r="M84">
        <v>7.7212500000000003E-2</v>
      </c>
      <c r="N84">
        <v>1.486013</v>
      </c>
      <c r="O84">
        <v>0.84682440846824414</v>
      </c>
      <c r="P84">
        <v>-0.16626191577660923</v>
      </c>
      <c r="Q84">
        <v>-2.5611939179601193</v>
      </c>
      <c r="R84">
        <v>0.39609669457493235</v>
      </c>
      <c r="S84">
        <v>10.735840520845915</v>
      </c>
    </row>
    <row r="85" spans="1:19">
      <c r="A85">
        <v>20332</v>
      </c>
      <c r="B85" t="s">
        <v>15</v>
      </c>
      <c r="C85" s="32" t="s">
        <v>33</v>
      </c>
      <c r="D85" t="s">
        <v>9</v>
      </c>
      <c r="E85">
        <v>2006</v>
      </c>
      <c r="F85">
        <v>12</v>
      </c>
      <c r="G85" s="32">
        <v>254</v>
      </c>
      <c r="H85">
        <v>5221</v>
      </c>
      <c r="I85">
        <v>4128</v>
      </c>
      <c r="J85" s="8">
        <v>0</v>
      </c>
      <c r="K85" s="8">
        <v>1077</v>
      </c>
      <c r="L85">
        <v>45974.423999999999</v>
      </c>
      <c r="M85">
        <v>8.2752000000000006E-2</v>
      </c>
      <c r="N85">
        <v>1.486013</v>
      </c>
      <c r="O85">
        <v>1.2647771317829457</v>
      </c>
      <c r="P85">
        <v>0.23489592624915367</v>
      </c>
      <c r="Q85">
        <v>-2.4919070958327447</v>
      </c>
      <c r="R85">
        <v>0.39609669457493235</v>
      </c>
      <c r="S85">
        <v>10.735840520845915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85"/>
  <sheetViews>
    <sheetView topLeftCell="I1" workbookViewId="0">
      <selection activeCell="I1" sqref="A1:XFD1048576"/>
    </sheetView>
  </sheetViews>
  <sheetFormatPr defaultRowHeight="12.75"/>
  <cols>
    <col min="3" max="3" width="9.140625" style="32"/>
    <col min="7" max="7" width="16.140625" customWidth="1"/>
    <col min="8" max="8" width="15.140625" customWidth="1"/>
    <col min="13" max="13" width="12.5703125" customWidth="1"/>
  </cols>
  <sheetData>
    <row r="1" spans="1:18">
      <c r="A1" t="s">
        <v>16</v>
      </c>
      <c r="B1" t="s">
        <v>1</v>
      </c>
      <c r="C1" s="32" t="s">
        <v>26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8" t="s">
        <v>22</v>
      </c>
      <c r="K1" s="8" t="s">
        <v>23</v>
      </c>
      <c r="L1" s="32" t="s">
        <v>38</v>
      </c>
      <c r="M1" s="32" t="s">
        <v>24</v>
      </c>
      <c r="N1" s="32" t="s">
        <v>25</v>
      </c>
      <c r="O1" s="32" t="s">
        <v>35</v>
      </c>
      <c r="P1" s="32" t="s">
        <v>37</v>
      </c>
      <c r="Q1" s="32" t="s">
        <v>36</v>
      </c>
      <c r="R1" s="32" t="s">
        <v>40</v>
      </c>
    </row>
    <row r="2" spans="1:18">
      <c r="A2">
        <v>2008</v>
      </c>
      <c r="B2" t="s">
        <v>8</v>
      </c>
      <c r="C2" s="32" t="s">
        <v>27</v>
      </c>
      <c r="D2" t="s">
        <v>9</v>
      </c>
      <c r="E2" t="s">
        <v>18</v>
      </c>
      <c r="F2">
        <v>1</v>
      </c>
      <c r="G2">
        <v>479</v>
      </c>
      <c r="H2">
        <v>8506</v>
      </c>
      <c r="I2">
        <v>6734</v>
      </c>
      <c r="J2" s="18">
        <v>0</v>
      </c>
      <c r="K2" s="18">
        <v>664</v>
      </c>
      <c r="L2">
        <v>52705.583999999995</v>
      </c>
      <c r="M2">
        <v>5.3038299999999997E-2</v>
      </c>
      <c r="N2">
        <v>1.055525</v>
      </c>
      <c r="O2">
        <f>H2/I2</f>
        <v>1.2631422631422631</v>
      </c>
      <c r="P2">
        <f>LN(M2)</f>
        <v>-2.9367409849002346</v>
      </c>
      <c r="Q2">
        <f>LN(N2)</f>
        <v>5.4038273482871602E-2</v>
      </c>
      <c r="R2">
        <f>LN(O2)</f>
        <v>0.23360247609255899</v>
      </c>
    </row>
    <row r="3" spans="1:18">
      <c r="A3">
        <v>2008</v>
      </c>
      <c r="B3" t="s">
        <v>8</v>
      </c>
      <c r="C3" s="32" t="s">
        <v>27</v>
      </c>
      <c r="D3" t="s">
        <v>9</v>
      </c>
      <c r="E3" t="s">
        <v>18</v>
      </c>
      <c r="F3">
        <v>2</v>
      </c>
      <c r="G3">
        <v>454</v>
      </c>
      <c r="H3">
        <v>8008</v>
      </c>
      <c r="I3">
        <v>6739</v>
      </c>
      <c r="J3" s="18">
        <v>0</v>
      </c>
      <c r="K3" s="18">
        <v>329</v>
      </c>
      <c r="L3">
        <v>52705.583999999995</v>
      </c>
      <c r="M3">
        <v>5.3396300000000001E-2</v>
      </c>
      <c r="N3">
        <v>1.055525</v>
      </c>
      <c r="O3" s="32">
        <f t="shared" ref="O3:O66" si="0">H3/I3</f>
        <v>1.1883068704555573</v>
      </c>
      <c r="P3" s="32">
        <f t="shared" ref="P3:P66" si="1">LN(M3)</f>
        <v>-2.9300138238060525</v>
      </c>
      <c r="Q3" s="32">
        <f t="shared" ref="Q3:Q66" si="2">LN(N3)</f>
        <v>5.4038273482871602E-2</v>
      </c>
      <c r="R3" s="32">
        <f t="shared" ref="R3:R66" si="3">LN(O3)</f>
        <v>0.17252949604883958</v>
      </c>
    </row>
    <row r="4" spans="1:18">
      <c r="A4">
        <v>2008</v>
      </c>
      <c r="B4" t="s">
        <v>8</v>
      </c>
      <c r="C4" s="32" t="s">
        <v>27</v>
      </c>
      <c r="D4" t="s">
        <v>9</v>
      </c>
      <c r="E4" t="s">
        <v>18</v>
      </c>
      <c r="F4">
        <v>3</v>
      </c>
      <c r="G4">
        <v>378</v>
      </c>
      <c r="H4">
        <v>6932</v>
      </c>
      <c r="I4">
        <v>6774</v>
      </c>
      <c r="J4" s="18">
        <v>58</v>
      </c>
      <c r="K4" s="18">
        <v>138</v>
      </c>
      <c r="L4">
        <v>52705.583999999995</v>
      </c>
      <c r="M4">
        <v>5.1358500000000001E-2</v>
      </c>
      <c r="N4">
        <v>1.055525</v>
      </c>
      <c r="O4" s="32">
        <f t="shared" si="0"/>
        <v>1.0233244759374078</v>
      </c>
      <c r="P4" s="32">
        <f t="shared" si="1"/>
        <v>-2.9689248256343999</v>
      </c>
      <c r="Q4" s="32">
        <f t="shared" si="2"/>
        <v>5.4038273482871602E-2</v>
      </c>
      <c r="R4" s="32">
        <f t="shared" si="3"/>
        <v>2.3056617457779774E-2</v>
      </c>
    </row>
    <row r="5" spans="1:18">
      <c r="A5">
        <v>2008</v>
      </c>
      <c r="B5" t="s">
        <v>8</v>
      </c>
      <c r="C5" s="32" t="s">
        <v>27</v>
      </c>
      <c r="D5" t="s">
        <v>9</v>
      </c>
      <c r="E5" t="s">
        <v>18</v>
      </c>
      <c r="F5">
        <v>4</v>
      </c>
      <c r="G5">
        <v>310</v>
      </c>
      <c r="H5">
        <v>5643</v>
      </c>
      <c r="I5">
        <v>6744</v>
      </c>
      <c r="J5" s="18">
        <v>155</v>
      </c>
      <c r="K5" s="18">
        <v>53</v>
      </c>
      <c r="L5">
        <v>52705.583999999995</v>
      </c>
      <c r="M5">
        <v>5.1740500000000002E-2</v>
      </c>
      <c r="N5">
        <v>1.055525</v>
      </c>
      <c r="O5" s="32">
        <f t="shared" si="0"/>
        <v>0.83674377224199292</v>
      </c>
      <c r="P5" s="32">
        <f t="shared" si="1"/>
        <v>-2.961514438567816</v>
      </c>
      <c r="Q5" s="32">
        <f t="shared" si="2"/>
        <v>5.4038273482871602E-2</v>
      </c>
      <c r="R5" s="32">
        <f t="shared" si="3"/>
        <v>-0.17823738171255127</v>
      </c>
    </row>
    <row r="6" spans="1:18">
      <c r="A6">
        <v>2008</v>
      </c>
      <c r="B6" t="s">
        <v>8</v>
      </c>
      <c r="C6" s="32" t="s">
        <v>27</v>
      </c>
      <c r="D6" t="s">
        <v>9</v>
      </c>
      <c r="E6" t="s">
        <v>18</v>
      </c>
      <c r="F6">
        <v>5</v>
      </c>
      <c r="G6">
        <v>342</v>
      </c>
      <c r="H6">
        <v>6243</v>
      </c>
      <c r="I6">
        <v>6737</v>
      </c>
      <c r="J6" s="18">
        <v>416</v>
      </c>
      <c r="K6" s="18">
        <v>0</v>
      </c>
      <c r="L6">
        <v>52705.583999999995</v>
      </c>
      <c r="M6">
        <v>5.1595500000000002E-2</v>
      </c>
      <c r="N6">
        <v>1.055525</v>
      </c>
      <c r="O6" s="32">
        <f t="shared" si="0"/>
        <v>0.92667359358765033</v>
      </c>
      <c r="P6" s="32">
        <f t="shared" si="1"/>
        <v>-2.964320819599898</v>
      </c>
      <c r="Q6" s="32">
        <f t="shared" si="2"/>
        <v>5.4038273482871602E-2</v>
      </c>
      <c r="R6" s="32">
        <f t="shared" si="3"/>
        <v>-7.6153885898915682E-2</v>
      </c>
    </row>
    <row r="7" spans="1:18">
      <c r="A7">
        <v>2008</v>
      </c>
      <c r="B7" t="s">
        <v>8</v>
      </c>
      <c r="C7" s="32" t="s">
        <v>27</v>
      </c>
      <c r="D7" t="s">
        <v>9</v>
      </c>
      <c r="E7" t="s">
        <v>18</v>
      </c>
      <c r="F7">
        <v>6</v>
      </c>
      <c r="G7">
        <v>490</v>
      </c>
      <c r="H7">
        <v>9060</v>
      </c>
      <c r="I7">
        <v>6749</v>
      </c>
      <c r="J7" s="18">
        <v>683</v>
      </c>
      <c r="K7" s="18">
        <v>0</v>
      </c>
      <c r="L7">
        <v>52705.583999999995</v>
      </c>
      <c r="M7">
        <v>5.0938600000000001E-2</v>
      </c>
      <c r="N7">
        <v>1.055525</v>
      </c>
      <c r="O7" s="32">
        <f t="shared" si="0"/>
        <v>1.3424210994221366</v>
      </c>
      <c r="P7" s="32">
        <f t="shared" si="1"/>
        <v>-2.9771342931222016</v>
      </c>
      <c r="Q7" s="32">
        <f t="shared" si="2"/>
        <v>5.4038273482871602E-2</v>
      </c>
      <c r="R7" s="32">
        <f t="shared" si="3"/>
        <v>0.29447477429361851</v>
      </c>
    </row>
    <row r="8" spans="1:18">
      <c r="A8">
        <v>2008</v>
      </c>
      <c r="B8" t="s">
        <v>8</v>
      </c>
      <c r="C8" s="32" t="s">
        <v>27</v>
      </c>
      <c r="D8" t="s">
        <v>9</v>
      </c>
      <c r="E8" t="s">
        <v>18</v>
      </c>
      <c r="F8">
        <v>7</v>
      </c>
      <c r="G8">
        <v>691</v>
      </c>
      <c r="H8">
        <v>12626</v>
      </c>
      <c r="I8">
        <v>6774</v>
      </c>
      <c r="J8" s="18">
        <v>905</v>
      </c>
      <c r="K8" s="18">
        <v>0</v>
      </c>
      <c r="L8">
        <v>52705.583999999995</v>
      </c>
      <c r="M8">
        <v>5.1545599999999997E-2</v>
      </c>
      <c r="N8">
        <v>1.055525</v>
      </c>
      <c r="O8" s="32">
        <f t="shared" si="0"/>
        <v>1.863891349276646</v>
      </c>
      <c r="P8" s="32">
        <f t="shared" si="1"/>
        <v>-2.9652884261872483</v>
      </c>
      <c r="Q8" s="32">
        <f t="shared" si="2"/>
        <v>5.4038273482871602E-2</v>
      </c>
      <c r="R8" s="32">
        <f t="shared" si="3"/>
        <v>0.62266642554985396</v>
      </c>
    </row>
    <row r="9" spans="1:18">
      <c r="A9">
        <v>2008</v>
      </c>
      <c r="B9" t="s">
        <v>8</v>
      </c>
      <c r="C9" s="32" t="s">
        <v>27</v>
      </c>
      <c r="D9" t="s">
        <v>9</v>
      </c>
      <c r="E9" t="s">
        <v>18</v>
      </c>
      <c r="F9">
        <v>8</v>
      </c>
      <c r="G9">
        <v>866</v>
      </c>
      <c r="H9">
        <v>15640</v>
      </c>
      <c r="I9">
        <v>6776</v>
      </c>
      <c r="J9" s="18">
        <v>807</v>
      </c>
      <c r="K9" s="18">
        <v>0</v>
      </c>
      <c r="L9">
        <v>52705.583999999995</v>
      </c>
      <c r="M9">
        <v>5.2150700000000001E-2</v>
      </c>
      <c r="N9">
        <v>1.055525</v>
      </c>
      <c r="O9" s="32">
        <f t="shared" si="0"/>
        <v>2.3081463990554898</v>
      </c>
      <c r="P9" s="32">
        <f t="shared" si="1"/>
        <v>-2.9536176748066487</v>
      </c>
      <c r="Q9" s="32">
        <f t="shared" si="2"/>
        <v>5.4038273482871602E-2</v>
      </c>
      <c r="R9" s="32">
        <f t="shared" si="3"/>
        <v>0.83644477776741166</v>
      </c>
    </row>
    <row r="10" spans="1:18">
      <c r="A10">
        <v>2008</v>
      </c>
      <c r="B10" t="s">
        <v>8</v>
      </c>
      <c r="C10" s="32" t="s">
        <v>27</v>
      </c>
      <c r="D10" t="s">
        <v>9</v>
      </c>
      <c r="E10" t="s">
        <v>18</v>
      </c>
      <c r="F10">
        <v>9</v>
      </c>
      <c r="G10">
        <v>782</v>
      </c>
      <c r="H10">
        <v>14280</v>
      </c>
      <c r="I10">
        <v>6787</v>
      </c>
      <c r="J10" s="18">
        <v>480</v>
      </c>
      <c r="K10" s="18">
        <v>0</v>
      </c>
      <c r="L10">
        <v>52705.583999999995</v>
      </c>
      <c r="M10">
        <v>5.1577199999999997E-2</v>
      </c>
      <c r="N10">
        <v>1.055525</v>
      </c>
      <c r="O10" s="32">
        <f t="shared" si="0"/>
        <v>2.1040223957565933</v>
      </c>
      <c r="P10" s="32">
        <f t="shared" si="1"/>
        <v>-2.9646755646088376</v>
      </c>
      <c r="Q10" s="32">
        <f t="shared" si="2"/>
        <v>5.4038273482871602E-2</v>
      </c>
      <c r="R10" s="32">
        <f t="shared" si="3"/>
        <v>0.74385093918981693</v>
      </c>
    </row>
    <row r="11" spans="1:18">
      <c r="A11">
        <v>2008</v>
      </c>
      <c r="B11" t="s">
        <v>8</v>
      </c>
      <c r="C11" s="32" t="s">
        <v>27</v>
      </c>
      <c r="D11" t="s">
        <v>9</v>
      </c>
      <c r="E11" t="s">
        <v>18</v>
      </c>
      <c r="F11">
        <v>10</v>
      </c>
      <c r="G11">
        <v>487</v>
      </c>
      <c r="H11">
        <v>9025</v>
      </c>
      <c r="I11">
        <v>6772</v>
      </c>
      <c r="J11" s="18">
        <v>107</v>
      </c>
      <c r="K11" s="18">
        <v>31</v>
      </c>
      <c r="L11">
        <v>52705.583999999995</v>
      </c>
      <c r="M11">
        <v>5.0823100000000003E-2</v>
      </c>
      <c r="N11">
        <v>1.055525</v>
      </c>
      <c r="O11" s="32">
        <f t="shared" si="0"/>
        <v>1.3326934435912581</v>
      </c>
      <c r="P11" s="32">
        <f t="shared" si="1"/>
        <v>-2.9794043033440651</v>
      </c>
      <c r="Q11" s="32">
        <f t="shared" si="2"/>
        <v>5.4038273482871602E-2</v>
      </c>
      <c r="R11" s="32">
        <f t="shared" si="3"/>
        <v>0.28720203994805571</v>
      </c>
    </row>
    <row r="12" spans="1:18">
      <c r="A12">
        <v>2008</v>
      </c>
      <c r="B12" t="s">
        <v>8</v>
      </c>
      <c r="C12" s="32" t="s">
        <v>27</v>
      </c>
      <c r="D12" t="s">
        <v>9</v>
      </c>
      <c r="E12" t="s">
        <v>18</v>
      </c>
      <c r="F12">
        <v>11</v>
      </c>
      <c r="G12">
        <v>346</v>
      </c>
      <c r="H12">
        <v>6342</v>
      </c>
      <c r="I12">
        <v>6754</v>
      </c>
      <c r="J12" s="18">
        <v>10</v>
      </c>
      <c r="K12" s="18">
        <v>191</v>
      </c>
      <c r="L12">
        <v>52705.583999999995</v>
      </c>
      <c r="M12">
        <v>5.1384100000000002E-2</v>
      </c>
      <c r="N12">
        <v>1.055525</v>
      </c>
      <c r="O12" s="32">
        <f t="shared" si="0"/>
        <v>0.93899911163754812</v>
      </c>
      <c r="P12" s="32">
        <f t="shared" si="1"/>
        <v>-2.9684264928974478</v>
      </c>
      <c r="Q12" s="32">
        <f t="shared" si="2"/>
        <v>5.4038273482871602E-2</v>
      </c>
      <c r="R12" s="32">
        <f t="shared" si="3"/>
        <v>-6.294074584722037E-2</v>
      </c>
    </row>
    <row r="13" spans="1:18">
      <c r="A13">
        <v>2008</v>
      </c>
      <c r="B13" t="s">
        <v>8</v>
      </c>
      <c r="C13" s="32" t="s">
        <v>27</v>
      </c>
      <c r="D13" t="s">
        <v>9</v>
      </c>
      <c r="E13" t="s">
        <v>18</v>
      </c>
      <c r="F13">
        <v>12</v>
      </c>
      <c r="G13">
        <v>336</v>
      </c>
      <c r="H13">
        <v>6116</v>
      </c>
      <c r="I13">
        <v>6779</v>
      </c>
      <c r="J13" s="18">
        <v>0</v>
      </c>
      <c r="K13" s="18">
        <v>673</v>
      </c>
      <c r="L13">
        <v>52705.583999999995</v>
      </c>
      <c r="M13">
        <v>5.1742900000000001E-2</v>
      </c>
      <c r="N13">
        <v>1.055525</v>
      </c>
      <c r="O13" s="32">
        <f t="shared" si="0"/>
        <v>0.90219796430151944</v>
      </c>
      <c r="P13" s="32">
        <f t="shared" si="1"/>
        <v>-2.961468054316807</v>
      </c>
      <c r="Q13" s="32">
        <f t="shared" si="2"/>
        <v>5.4038273482871602E-2</v>
      </c>
      <c r="R13" s="32">
        <f t="shared" si="3"/>
        <v>-0.10292131038201265</v>
      </c>
    </row>
    <row r="14" spans="1:18">
      <c r="A14">
        <v>13073</v>
      </c>
      <c r="B14" t="s">
        <v>10</v>
      </c>
      <c r="C14" s="32" t="s">
        <v>28</v>
      </c>
      <c r="D14" t="s">
        <v>9</v>
      </c>
      <c r="E14" t="s">
        <v>18</v>
      </c>
      <c r="F14">
        <v>1</v>
      </c>
      <c r="G14">
        <v>523</v>
      </c>
      <c r="H14">
        <v>8211</v>
      </c>
      <c r="I14">
        <v>4832</v>
      </c>
      <c r="J14" s="10">
        <v>0</v>
      </c>
      <c r="K14" s="10">
        <v>1431</v>
      </c>
      <c r="L14">
        <v>47971.908000000003</v>
      </c>
      <c r="M14">
        <v>5.9990799999999997E-2</v>
      </c>
      <c r="N14">
        <v>1.3035129999999999</v>
      </c>
      <c r="O14" s="32">
        <f t="shared" si="0"/>
        <v>1.6992963576158941</v>
      </c>
      <c r="P14" s="32">
        <f t="shared" si="1"/>
        <v>-2.8135640618501272</v>
      </c>
      <c r="Q14" s="32">
        <f t="shared" si="2"/>
        <v>0.26506292749090143</v>
      </c>
      <c r="R14" s="32">
        <f t="shared" si="3"/>
        <v>0.53021425809413791</v>
      </c>
    </row>
    <row r="15" spans="1:18">
      <c r="A15">
        <v>13073</v>
      </c>
      <c r="B15" t="s">
        <v>10</v>
      </c>
      <c r="C15" s="32" t="s">
        <v>28</v>
      </c>
      <c r="D15" t="s">
        <v>9</v>
      </c>
      <c r="E15" t="s">
        <v>18</v>
      </c>
      <c r="F15">
        <v>2</v>
      </c>
      <c r="G15">
        <v>536</v>
      </c>
      <c r="H15">
        <v>8493</v>
      </c>
      <c r="I15">
        <v>4840</v>
      </c>
      <c r="J15" s="10">
        <v>0</v>
      </c>
      <c r="K15" s="10">
        <v>945</v>
      </c>
      <c r="L15">
        <v>47971.908000000003</v>
      </c>
      <c r="M15">
        <v>5.9440600000000003E-2</v>
      </c>
      <c r="N15">
        <v>1.3035129999999999</v>
      </c>
      <c r="O15" s="32">
        <f t="shared" si="0"/>
        <v>1.7547520661157026</v>
      </c>
      <c r="P15" s="32">
        <f t="shared" si="1"/>
        <v>-2.8227777844109281</v>
      </c>
      <c r="Q15" s="32">
        <f t="shared" si="2"/>
        <v>0.26506292749090143</v>
      </c>
      <c r="R15" s="32">
        <f t="shared" si="3"/>
        <v>0.56232757406933198</v>
      </c>
    </row>
    <row r="16" spans="1:18">
      <c r="A16">
        <v>13073</v>
      </c>
      <c r="B16" t="s">
        <v>10</v>
      </c>
      <c r="C16" s="32" t="s">
        <v>28</v>
      </c>
      <c r="D16" t="s">
        <v>9</v>
      </c>
      <c r="E16" t="s">
        <v>18</v>
      </c>
      <c r="F16">
        <v>3</v>
      </c>
      <c r="G16">
        <v>433</v>
      </c>
      <c r="H16">
        <v>6381</v>
      </c>
      <c r="I16">
        <v>4846</v>
      </c>
      <c r="J16" s="10">
        <v>0</v>
      </c>
      <c r="K16" s="10">
        <v>757</v>
      </c>
      <c r="L16">
        <v>47971.908000000003</v>
      </c>
      <c r="M16">
        <v>6.3911399999999993E-2</v>
      </c>
      <c r="N16">
        <v>1.3035129999999999</v>
      </c>
      <c r="O16" s="32">
        <f t="shared" si="0"/>
        <v>1.3167560874948412</v>
      </c>
      <c r="P16" s="32">
        <f t="shared" si="1"/>
        <v>-2.7502575297548373</v>
      </c>
      <c r="Q16" s="32">
        <f t="shared" si="2"/>
        <v>0.26506292749090143</v>
      </c>
      <c r="R16" s="32">
        <f t="shared" si="3"/>
        <v>0.27517120249187588</v>
      </c>
    </row>
    <row r="17" spans="1:18">
      <c r="A17">
        <v>13073</v>
      </c>
      <c r="B17" t="s">
        <v>10</v>
      </c>
      <c r="C17" s="32" t="s">
        <v>28</v>
      </c>
      <c r="D17" t="s">
        <v>9</v>
      </c>
      <c r="E17" t="s">
        <v>18</v>
      </c>
      <c r="F17">
        <v>4</v>
      </c>
      <c r="G17">
        <v>367</v>
      </c>
      <c r="H17">
        <v>5064</v>
      </c>
      <c r="I17">
        <v>4845</v>
      </c>
      <c r="J17" s="10">
        <v>0</v>
      </c>
      <c r="K17" s="10">
        <v>617</v>
      </c>
      <c r="L17">
        <v>47971.908000000003</v>
      </c>
      <c r="M17">
        <v>6.8257700000000004E-2</v>
      </c>
      <c r="N17">
        <v>1.3035129999999999</v>
      </c>
      <c r="O17" s="32">
        <f t="shared" si="0"/>
        <v>1.0452012383900928</v>
      </c>
      <c r="P17" s="32">
        <f t="shared" si="1"/>
        <v>-2.6844650307680027</v>
      </c>
      <c r="Q17" s="32">
        <f t="shared" si="2"/>
        <v>0.26506292749090143</v>
      </c>
      <c r="R17" s="32">
        <f t="shared" si="3"/>
        <v>4.4209439499145457E-2</v>
      </c>
    </row>
    <row r="18" spans="1:18">
      <c r="A18">
        <v>13073</v>
      </c>
      <c r="B18" t="s">
        <v>10</v>
      </c>
      <c r="C18" s="32" t="s">
        <v>28</v>
      </c>
      <c r="D18" t="s">
        <v>9</v>
      </c>
      <c r="E18" t="s">
        <v>18</v>
      </c>
      <c r="F18">
        <v>5</v>
      </c>
      <c r="G18">
        <v>341</v>
      </c>
      <c r="H18">
        <v>4526</v>
      </c>
      <c r="I18">
        <v>4855</v>
      </c>
      <c r="J18" s="10">
        <v>1</v>
      </c>
      <c r="K18" s="10">
        <v>392</v>
      </c>
      <c r="L18">
        <v>47971.908000000003</v>
      </c>
      <c r="M18">
        <v>7.0960899999999993E-2</v>
      </c>
      <c r="N18">
        <v>1.3035129999999999</v>
      </c>
      <c r="O18" s="32">
        <f t="shared" si="0"/>
        <v>0.93223480947476833</v>
      </c>
      <c r="P18" s="32">
        <f t="shared" si="1"/>
        <v>-2.6456262578594405</v>
      </c>
      <c r="Q18" s="32">
        <f t="shared" si="2"/>
        <v>0.26506292749090143</v>
      </c>
      <c r="R18" s="32">
        <f t="shared" si="3"/>
        <v>-7.0170554531942542E-2</v>
      </c>
    </row>
    <row r="19" spans="1:18">
      <c r="A19">
        <v>13073</v>
      </c>
      <c r="B19" t="s">
        <v>10</v>
      </c>
      <c r="C19" s="32" t="s">
        <v>28</v>
      </c>
      <c r="D19" t="s">
        <v>9</v>
      </c>
      <c r="E19" t="s">
        <v>18</v>
      </c>
      <c r="F19">
        <v>6</v>
      </c>
      <c r="G19">
        <v>288</v>
      </c>
      <c r="H19">
        <v>3495</v>
      </c>
      <c r="I19">
        <v>4850</v>
      </c>
      <c r="J19" s="10">
        <v>40</v>
      </c>
      <c r="K19" s="10">
        <v>103</v>
      </c>
      <c r="L19">
        <v>47971.908000000003</v>
      </c>
      <c r="M19">
        <v>7.7611200000000005E-2</v>
      </c>
      <c r="N19">
        <v>1.3035129999999999</v>
      </c>
      <c r="O19" s="32">
        <f t="shared" si="0"/>
        <v>0.72061855670103092</v>
      </c>
      <c r="P19" s="32">
        <f t="shared" si="1"/>
        <v>-2.5560435323106141</v>
      </c>
      <c r="Q19" s="32">
        <f t="shared" si="2"/>
        <v>0.26506292749090143</v>
      </c>
      <c r="R19" s="32">
        <f t="shared" si="3"/>
        <v>-0.32764532926361828</v>
      </c>
    </row>
    <row r="20" spans="1:18">
      <c r="A20">
        <v>13073</v>
      </c>
      <c r="B20" t="s">
        <v>10</v>
      </c>
      <c r="C20" s="32" t="s">
        <v>28</v>
      </c>
      <c r="D20" t="s">
        <v>9</v>
      </c>
      <c r="E20" t="s">
        <v>18</v>
      </c>
      <c r="F20">
        <v>7</v>
      </c>
      <c r="G20">
        <v>282</v>
      </c>
      <c r="H20">
        <v>3380</v>
      </c>
      <c r="I20">
        <v>4862</v>
      </c>
      <c r="J20" s="10">
        <v>206</v>
      </c>
      <c r="K20" s="10">
        <v>0</v>
      </c>
      <c r="L20">
        <v>47971.908000000003</v>
      </c>
      <c r="M20">
        <v>7.8579899999999994E-2</v>
      </c>
      <c r="N20">
        <v>1.3035129999999999</v>
      </c>
      <c r="O20" s="32">
        <f t="shared" si="0"/>
        <v>0.69518716577540107</v>
      </c>
      <c r="P20" s="32">
        <f t="shared" si="1"/>
        <v>-2.543639337441078</v>
      </c>
      <c r="Q20" s="32">
        <f t="shared" si="2"/>
        <v>0.26506292749090143</v>
      </c>
      <c r="R20" s="32">
        <f t="shared" si="3"/>
        <v>-0.36357416639900419</v>
      </c>
    </row>
    <row r="21" spans="1:18">
      <c r="A21">
        <v>13073</v>
      </c>
      <c r="B21" t="s">
        <v>10</v>
      </c>
      <c r="C21" s="32" t="s">
        <v>28</v>
      </c>
      <c r="D21" t="s">
        <v>9</v>
      </c>
      <c r="E21" t="s">
        <v>18</v>
      </c>
      <c r="F21">
        <v>8</v>
      </c>
      <c r="G21">
        <v>289</v>
      </c>
      <c r="H21">
        <v>3462</v>
      </c>
      <c r="I21">
        <v>4868</v>
      </c>
      <c r="J21" s="10">
        <v>145</v>
      </c>
      <c r="K21" s="10">
        <v>2</v>
      </c>
      <c r="L21">
        <v>47971.908000000003</v>
      </c>
      <c r="M21">
        <v>7.8623100000000001E-2</v>
      </c>
      <c r="N21">
        <v>1.3035129999999999</v>
      </c>
      <c r="O21" s="32">
        <f t="shared" si="0"/>
        <v>0.71117502054231718</v>
      </c>
      <c r="P21" s="32">
        <f t="shared" si="1"/>
        <v>-2.5430897295953314</v>
      </c>
      <c r="Q21" s="32">
        <f t="shared" si="2"/>
        <v>0.26506292749090143</v>
      </c>
      <c r="R21" s="32">
        <f t="shared" si="3"/>
        <v>-0.34083671837126323</v>
      </c>
    </row>
    <row r="22" spans="1:18">
      <c r="A22">
        <v>13073</v>
      </c>
      <c r="B22" t="s">
        <v>10</v>
      </c>
      <c r="C22" s="32" t="s">
        <v>28</v>
      </c>
      <c r="D22" t="s">
        <v>9</v>
      </c>
      <c r="E22" t="s">
        <v>18</v>
      </c>
      <c r="F22">
        <v>9</v>
      </c>
      <c r="G22">
        <v>279</v>
      </c>
      <c r="H22">
        <v>3310</v>
      </c>
      <c r="I22">
        <v>4877</v>
      </c>
      <c r="J22" s="10">
        <v>29</v>
      </c>
      <c r="K22" s="10">
        <v>268</v>
      </c>
      <c r="L22">
        <v>47971.908000000003</v>
      </c>
      <c r="M22">
        <v>7.9388100000000003E-2</v>
      </c>
      <c r="N22">
        <v>1.3035129999999999</v>
      </c>
      <c r="O22" s="32">
        <f t="shared" si="0"/>
        <v>0.67869591962271891</v>
      </c>
      <c r="P22" s="32">
        <f t="shared" si="1"/>
        <v>-2.5334067960167013</v>
      </c>
      <c r="Q22" s="32">
        <f t="shared" si="2"/>
        <v>0.26506292749090143</v>
      </c>
      <c r="R22" s="32">
        <f t="shared" si="3"/>
        <v>-0.38758208733894395</v>
      </c>
    </row>
    <row r="23" spans="1:18">
      <c r="A23">
        <v>13073</v>
      </c>
      <c r="B23" t="s">
        <v>10</v>
      </c>
      <c r="C23" s="32" t="s">
        <v>28</v>
      </c>
      <c r="D23" t="s">
        <v>9</v>
      </c>
      <c r="E23" t="s">
        <v>18</v>
      </c>
      <c r="F23">
        <v>10</v>
      </c>
      <c r="G23">
        <v>303</v>
      </c>
      <c r="H23">
        <v>3761</v>
      </c>
      <c r="I23">
        <v>4879</v>
      </c>
      <c r="J23" s="10">
        <v>0</v>
      </c>
      <c r="K23" s="10">
        <v>619</v>
      </c>
      <c r="L23">
        <v>47971.908000000003</v>
      </c>
      <c r="M23">
        <v>7.5878500000000002E-2</v>
      </c>
      <c r="N23">
        <v>1.3035129999999999</v>
      </c>
      <c r="O23" s="32">
        <f t="shared" si="0"/>
        <v>0.77085468333674934</v>
      </c>
      <c r="P23" s="32">
        <f t="shared" si="1"/>
        <v>-2.5786219021655374</v>
      </c>
      <c r="Q23" s="32">
        <f t="shared" si="2"/>
        <v>0.26506292749090143</v>
      </c>
      <c r="R23" s="32">
        <f t="shared" si="3"/>
        <v>-0.26025540134550079</v>
      </c>
    </row>
    <row r="24" spans="1:18">
      <c r="A24">
        <v>13073</v>
      </c>
      <c r="B24" t="s">
        <v>10</v>
      </c>
      <c r="C24" s="32" t="s">
        <v>28</v>
      </c>
      <c r="D24" t="s">
        <v>9</v>
      </c>
      <c r="E24" t="s">
        <v>18</v>
      </c>
      <c r="F24">
        <v>11</v>
      </c>
      <c r="G24">
        <v>371.4</v>
      </c>
      <c r="H24">
        <v>5072.3999999999996</v>
      </c>
      <c r="I24">
        <v>4881</v>
      </c>
      <c r="J24" s="10">
        <v>0</v>
      </c>
      <c r="K24" s="10">
        <v>852</v>
      </c>
      <c r="L24">
        <v>47971.908000000003</v>
      </c>
      <c r="M24">
        <v>6.8961700000000001E-2</v>
      </c>
      <c r="N24">
        <v>1.3035129999999999</v>
      </c>
      <c r="O24" s="32">
        <f t="shared" si="0"/>
        <v>1.0392132759680393</v>
      </c>
      <c r="P24" s="32">
        <f t="shared" si="1"/>
        <v>-2.6742040009583965</v>
      </c>
      <c r="Q24" s="32">
        <f t="shared" si="2"/>
        <v>0.26506292749090143</v>
      </c>
      <c r="R24" s="32">
        <f t="shared" si="3"/>
        <v>3.8463961473596965E-2</v>
      </c>
    </row>
    <row r="25" spans="1:18">
      <c r="A25">
        <v>13073</v>
      </c>
      <c r="B25" t="s">
        <v>10</v>
      </c>
      <c r="C25" s="32" t="s">
        <v>28</v>
      </c>
      <c r="D25" t="s">
        <v>9</v>
      </c>
      <c r="E25" t="s">
        <v>18</v>
      </c>
      <c r="F25">
        <v>12</v>
      </c>
      <c r="G25">
        <v>465.3</v>
      </c>
      <c r="H25">
        <v>6988.6</v>
      </c>
      <c r="I25">
        <v>4889</v>
      </c>
      <c r="J25" s="10">
        <v>0</v>
      </c>
      <c r="K25" s="10">
        <v>1339</v>
      </c>
      <c r="L25">
        <v>47971.908000000003</v>
      </c>
      <c r="M25">
        <v>6.2707899999999997E-2</v>
      </c>
      <c r="N25">
        <v>1.3035129999999999</v>
      </c>
      <c r="O25" s="32">
        <f t="shared" si="0"/>
        <v>1.4294538760482718</v>
      </c>
      <c r="P25" s="32">
        <f t="shared" si="1"/>
        <v>-2.7692678424699864</v>
      </c>
      <c r="Q25" s="32">
        <f t="shared" si="2"/>
        <v>0.26506292749090143</v>
      </c>
      <c r="R25" s="32">
        <f t="shared" si="3"/>
        <v>0.35729246646623353</v>
      </c>
    </row>
    <row r="26" spans="1:18">
      <c r="A26">
        <v>13407</v>
      </c>
      <c r="B26" t="s">
        <v>11</v>
      </c>
      <c r="C26" s="32" t="s">
        <v>29</v>
      </c>
      <c r="D26" t="s">
        <v>9</v>
      </c>
      <c r="E26" t="s">
        <v>18</v>
      </c>
      <c r="F26">
        <v>1</v>
      </c>
      <c r="G26" s="32">
        <v>73000</v>
      </c>
      <c r="H26" s="32">
        <v>667800</v>
      </c>
      <c r="I26" s="32">
        <v>713152</v>
      </c>
      <c r="J26" s="15">
        <v>0</v>
      </c>
      <c r="K26" s="15">
        <v>581</v>
      </c>
      <c r="L26">
        <v>52739.495999999999</v>
      </c>
      <c r="M26" s="35">
        <v>0.1029569547124458</v>
      </c>
      <c r="N26">
        <v>1.055525</v>
      </c>
      <c r="O26" s="32">
        <f t="shared" si="0"/>
        <v>0.93640626402225613</v>
      </c>
      <c r="P26" s="32">
        <f t="shared" si="1"/>
        <v>-2.2734442935166328</v>
      </c>
      <c r="Q26" s="32">
        <f t="shared" si="2"/>
        <v>5.4038273482871602E-2</v>
      </c>
      <c r="R26" s="32">
        <f t="shared" si="3"/>
        <v>-6.5705853915034571E-2</v>
      </c>
    </row>
    <row r="27" spans="1:18">
      <c r="A27">
        <v>13407</v>
      </c>
      <c r="B27" t="s">
        <v>11</v>
      </c>
      <c r="C27" s="32" t="s">
        <v>29</v>
      </c>
      <c r="D27" t="s">
        <v>9</v>
      </c>
      <c r="E27" t="s">
        <v>18</v>
      </c>
      <c r="F27">
        <v>2</v>
      </c>
      <c r="G27" s="32">
        <v>51483</v>
      </c>
      <c r="H27" s="32">
        <v>461843</v>
      </c>
      <c r="I27" s="32">
        <v>708496</v>
      </c>
      <c r="J27" s="15">
        <v>0</v>
      </c>
      <c r="K27" s="15">
        <v>286</v>
      </c>
      <c r="L27">
        <v>52739.495999999999</v>
      </c>
      <c r="M27" s="35">
        <v>0.10499019044157636</v>
      </c>
      <c r="N27">
        <v>1.055525</v>
      </c>
      <c r="O27" s="32">
        <f t="shared" si="0"/>
        <v>0.6518639484203157</v>
      </c>
      <c r="P27" s="32">
        <f t="shared" si="1"/>
        <v>-2.2538883575548811</v>
      </c>
      <c r="Q27" s="32">
        <f t="shared" si="2"/>
        <v>5.4038273482871602E-2</v>
      </c>
      <c r="R27" s="32">
        <f t="shared" si="3"/>
        <v>-0.42791940689669478</v>
      </c>
    </row>
    <row r="28" spans="1:18">
      <c r="A28">
        <v>13407</v>
      </c>
      <c r="B28" t="s">
        <v>11</v>
      </c>
      <c r="C28" s="32" t="s">
        <v>29</v>
      </c>
      <c r="D28" t="s">
        <v>9</v>
      </c>
      <c r="E28" t="s">
        <v>18</v>
      </c>
      <c r="F28">
        <v>3</v>
      </c>
      <c r="G28" s="32">
        <v>54765</v>
      </c>
      <c r="H28" s="32">
        <v>486172</v>
      </c>
      <c r="I28" s="32">
        <v>713547</v>
      </c>
      <c r="J28" s="15">
        <v>90</v>
      </c>
      <c r="K28" s="15">
        <v>102</v>
      </c>
      <c r="L28">
        <v>52739.495999999999</v>
      </c>
      <c r="M28" s="35">
        <v>0.10609438313278421</v>
      </c>
      <c r="N28">
        <v>1.055525</v>
      </c>
      <c r="O28" s="32">
        <f t="shared" si="0"/>
        <v>0.68134544746176495</v>
      </c>
      <c r="P28" s="32">
        <f t="shared" si="1"/>
        <v>-2.2434261741340915</v>
      </c>
      <c r="Q28" s="32">
        <f t="shared" si="2"/>
        <v>5.4038273482871602E-2</v>
      </c>
      <c r="R28" s="32">
        <f t="shared" si="3"/>
        <v>-0.38368583645276993</v>
      </c>
    </row>
    <row r="29" spans="1:18">
      <c r="A29">
        <v>13407</v>
      </c>
      <c r="B29" t="s">
        <v>11</v>
      </c>
      <c r="C29" s="32" t="s">
        <v>29</v>
      </c>
      <c r="D29" t="s">
        <v>9</v>
      </c>
      <c r="E29" t="s">
        <v>18</v>
      </c>
      <c r="F29">
        <v>4</v>
      </c>
      <c r="G29" s="32">
        <v>53771</v>
      </c>
      <c r="H29" s="32">
        <v>479131</v>
      </c>
      <c r="I29" s="32">
        <v>716941</v>
      </c>
      <c r="J29" s="15">
        <v>207</v>
      </c>
      <c r="K29" s="15">
        <v>35</v>
      </c>
      <c r="L29">
        <v>52739.495999999999</v>
      </c>
      <c r="M29" s="35">
        <v>0.10569953712801065</v>
      </c>
      <c r="N29">
        <v>1.055525</v>
      </c>
      <c r="O29" s="32">
        <f t="shared" si="0"/>
        <v>0.66829906505556247</v>
      </c>
      <c r="P29" s="32">
        <f t="shared" si="1"/>
        <v>-2.2471547652261235</v>
      </c>
      <c r="Q29" s="32">
        <f t="shared" si="2"/>
        <v>5.4038273482871602E-2</v>
      </c>
      <c r="R29" s="32">
        <f t="shared" si="3"/>
        <v>-0.40301950345522408</v>
      </c>
    </row>
    <row r="30" spans="1:18">
      <c r="A30">
        <v>13407</v>
      </c>
      <c r="B30" t="s">
        <v>11</v>
      </c>
      <c r="C30" s="32" t="s">
        <v>29</v>
      </c>
      <c r="D30" t="s">
        <v>9</v>
      </c>
      <c r="E30" t="s">
        <v>18</v>
      </c>
      <c r="F30">
        <v>5</v>
      </c>
      <c r="G30" s="32">
        <v>82899</v>
      </c>
      <c r="H30" s="32">
        <v>754607</v>
      </c>
      <c r="I30" s="32">
        <v>718101</v>
      </c>
      <c r="J30" s="15">
        <v>491</v>
      </c>
      <c r="K30" s="15">
        <v>1</v>
      </c>
      <c r="L30">
        <v>52739.495999999999</v>
      </c>
      <c r="M30" s="35">
        <v>0.10346839329173022</v>
      </c>
      <c r="N30">
        <v>1.055525</v>
      </c>
      <c r="O30" s="32">
        <f t="shared" si="0"/>
        <v>1.0508368599960172</v>
      </c>
      <c r="P30" s="32">
        <f t="shared" si="1"/>
        <v>-2.2684890917381839</v>
      </c>
      <c r="Q30" s="32">
        <f t="shared" si="2"/>
        <v>5.4038273482871602E-2</v>
      </c>
      <c r="R30" s="32">
        <f t="shared" si="3"/>
        <v>4.9586856246019946E-2</v>
      </c>
    </row>
    <row r="31" spans="1:18">
      <c r="A31">
        <v>13407</v>
      </c>
      <c r="B31" t="s">
        <v>11</v>
      </c>
      <c r="C31" s="32" t="s">
        <v>29</v>
      </c>
      <c r="D31" t="s">
        <v>9</v>
      </c>
      <c r="E31" t="s">
        <v>18</v>
      </c>
      <c r="F31">
        <v>6</v>
      </c>
      <c r="G31" s="32">
        <v>130390</v>
      </c>
      <c r="H31" s="32">
        <v>1140917</v>
      </c>
      <c r="I31" s="32">
        <v>721485</v>
      </c>
      <c r="J31" s="15">
        <v>742</v>
      </c>
      <c r="K31" s="15">
        <v>0</v>
      </c>
      <c r="L31">
        <v>52739.495999999999</v>
      </c>
      <c r="M31" s="35">
        <v>0.10763895604720898</v>
      </c>
      <c r="N31">
        <v>1.055525</v>
      </c>
      <c r="O31" s="32">
        <f t="shared" si="0"/>
        <v>1.5813454195166912</v>
      </c>
      <c r="P31" s="32">
        <f t="shared" si="1"/>
        <v>-2.2289726517285366</v>
      </c>
      <c r="Q31" s="32">
        <f t="shared" si="2"/>
        <v>5.4038273482871602E-2</v>
      </c>
      <c r="R31" s="32">
        <f t="shared" si="3"/>
        <v>0.45827601603142754</v>
      </c>
    </row>
    <row r="32" spans="1:18">
      <c r="A32">
        <v>13407</v>
      </c>
      <c r="B32" t="s">
        <v>11</v>
      </c>
      <c r="C32" s="32" t="s">
        <v>29</v>
      </c>
      <c r="D32" t="s">
        <v>9</v>
      </c>
      <c r="E32" t="s">
        <v>18</v>
      </c>
      <c r="F32">
        <v>7</v>
      </c>
      <c r="G32" s="32">
        <v>192563</v>
      </c>
      <c r="H32" s="32">
        <v>1584592</v>
      </c>
      <c r="I32" s="32">
        <v>722386</v>
      </c>
      <c r="J32" s="15">
        <v>947</v>
      </c>
      <c r="K32" s="15">
        <v>0</v>
      </c>
      <c r="L32">
        <v>52739.495999999999</v>
      </c>
      <c r="M32" s="35">
        <v>0.11445496247823272</v>
      </c>
      <c r="N32">
        <v>1.055525</v>
      </c>
      <c r="O32" s="32">
        <f t="shared" si="0"/>
        <v>2.1935530312049236</v>
      </c>
      <c r="P32" s="32">
        <f t="shared" si="1"/>
        <v>-2.1675738741680881</v>
      </c>
      <c r="Q32" s="32">
        <f t="shared" si="2"/>
        <v>5.4038273482871602E-2</v>
      </c>
      <c r="R32" s="32">
        <f t="shared" si="3"/>
        <v>0.78552261785566968</v>
      </c>
    </row>
    <row r="33" spans="1:23">
      <c r="A33">
        <v>13407</v>
      </c>
      <c r="B33" t="s">
        <v>11</v>
      </c>
      <c r="C33" s="32" t="s">
        <v>29</v>
      </c>
      <c r="D33" t="s">
        <v>9</v>
      </c>
      <c r="E33" t="s">
        <v>18</v>
      </c>
      <c r="F33">
        <v>8</v>
      </c>
      <c r="G33" s="32">
        <v>156429</v>
      </c>
      <c r="H33" s="32">
        <v>1309241</v>
      </c>
      <c r="I33" s="32">
        <v>724022</v>
      </c>
      <c r="J33" s="15">
        <v>860</v>
      </c>
      <c r="K33" s="15">
        <v>0</v>
      </c>
      <c r="L33">
        <v>52739.495999999999</v>
      </c>
      <c r="M33" s="35">
        <v>0.11253222732956512</v>
      </c>
      <c r="N33">
        <v>1.055525</v>
      </c>
      <c r="O33" s="32">
        <f t="shared" si="0"/>
        <v>1.8082889746444168</v>
      </c>
      <c r="P33" s="32">
        <f t="shared" si="1"/>
        <v>-2.1845156332092794</v>
      </c>
      <c r="Q33" s="32">
        <f t="shared" si="2"/>
        <v>5.4038273482871602E-2</v>
      </c>
      <c r="R33" s="32">
        <f t="shared" si="3"/>
        <v>0.59238108030699155</v>
      </c>
    </row>
    <row r="34" spans="1:23">
      <c r="A34">
        <v>13407</v>
      </c>
      <c r="B34" t="s">
        <v>11</v>
      </c>
      <c r="C34" s="32" t="s">
        <v>29</v>
      </c>
      <c r="D34" t="s">
        <v>9</v>
      </c>
      <c r="E34" t="s">
        <v>18</v>
      </c>
      <c r="F34">
        <v>9</v>
      </c>
      <c r="G34" s="32">
        <v>126210</v>
      </c>
      <c r="H34" s="32">
        <v>1062737</v>
      </c>
      <c r="I34" s="32">
        <v>727549</v>
      </c>
      <c r="J34" s="15">
        <v>538</v>
      </c>
      <c r="K34" s="15">
        <v>0</v>
      </c>
      <c r="L34">
        <v>52739.495999999999</v>
      </c>
      <c r="M34" s="35">
        <v>0.11185288972825992</v>
      </c>
      <c r="N34">
        <v>1.055525</v>
      </c>
      <c r="O34" s="32">
        <f t="shared" si="0"/>
        <v>1.4607084883629831</v>
      </c>
      <c r="P34" s="32">
        <f t="shared" si="1"/>
        <v>-2.1905707556331113</v>
      </c>
      <c r="Q34" s="32">
        <f t="shared" si="2"/>
        <v>5.4038273482871602E-2</v>
      </c>
      <c r="R34" s="32">
        <f t="shared" si="3"/>
        <v>0.3789215840188187</v>
      </c>
    </row>
    <row r="35" spans="1:23">
      <c r="A35">
        <v>13407</v>
      </c>
      <c r="B35" t="s">
        <v>11</v>
      </c>
      <c r="C35" s="32" t="s">
        <v>29</v>
      </c>
      <c r="D35" t="s">
        <v>9</v>
      </c>
      <c r="E35" t="s">
        <v>18</v>
      </c>
      <c r="F35">
        <v>10</v>
      </c>
      <c r="G35" s="32">
        <v>55852</v>
      </c>
      <c r="H35" s="32">
        <v>436119</v>
      </c>
      <c r="I35" s="32">
        <v>721079</v>
      </c>
      <c r="J35" s="15">
        <v>168</v>
      </c>
      <c r="K35" s="15">
        <v>14</v>
      </c>
      <c r="L35">
        <v>52739.495999999999</v>
      </c>
      <c r="M35" s="35">
        <v>0.12061823377368257</v>
      </c>
      <c r="N35">
        <v>1.055525</v>
      </c>
      <c r="O35" s="32">
        <f t="shared" si="0"/>
        <v>0.60481445167589132</v>
      </c>
      <c r="P35" s="32">
        <f t="shared" si="1"/>
        <v>-2.1151248139641785</v>
      </c>
      <c r="Q35" s="32">
        <f t="shared" si="2"/>
        <v>5.4038273482871602E-2</v>
      </c>
      <c r="R35" s="32">
        <f t="shared" si="3"/>
        <v>-0.50283355943554242</v>
      </c>
    </row>
    <row r="36" spans="1:23">
      <c r="A36">
        <v>13407</v>
      </c>
      <c r="B36" t="s">
        <v>11</v>
      </c>
      <c r="C36" s="32" t="s">
        <v>29</v>
      </c>
      <c r="D36" t="s">
        <v>9</v>
      </c>
      <c r="E36" t="s">
        <v>18</v>
      </c>
      <c r="F36">
        <v>11</v>
      </c>
      <c r="G36" s="32">
        <v>49258</v>
      </c>
      <c r="H36" s="32">
        <v>381934</v>
      </c>
      <c r="I36" s="32">
        <v>720863</v>
      </c>
      <c r="J36" s="15">
        <v>32</v>
      </c>
      <c r="K36" s="15">
        <v>149</v>
      </c>
      <c r="L36">
        <v>52739.495999999999</v>
      </c>
      <c r="M36" s="35">
        <v>0.12146962651424507</v>
      </c>
      <c r="N36">
        <v>1.055525</v>
      </c>
      <c r="O36" s="32">
        <f t="shared" si="0"/>
        <v>0.52982883016606486</v>
      </c>
      <c r="P36" s="32">
        <f t="shared" si="1"/>
        <v>-2.1080910349907045</v>
      </c>
      <c r="Q36" s="32">
        <f t="shared" si="2"/>
        <v>5.4038273482871602E-2</v>
      </c>
      <c r="R36" s="32">
        <f t="shared" si="3"/>
        <v>-0.63520128655023289</v>
      </c>
    </row>
    <row r="37" spans="1:23">
      <c r="A37">
        <v>13407</v>
      </c>
      <c r="B37" t="s">
        <v>11</v>
      </c>
      <c r="C37" s="32" t="s">
        <v>29</v>
      </c>
      <c r="D37" t="s">
        <v>9</v>
      </c>
      <c r="E37" t="s">
        <v>18</v>
      </c>
      <c r="F37">
        <v>12</v>
      </c>
      <c r="G37" s="32">
        <v>75797</v>
      </c>
      <c r="H37" s="32">
        <v>606634</v>
      </c>
      <c r="I37" s="32">
        <v>724950</v>
      </c>
      <c r="J37" s="15">
        <v>0</v>
      </c>
      <c r="K37" s="15">
        <v>607</v>
      </c>
      <c r="L37">
        <v>52739.495999999999</v>
      </c>
      <c r="M37" s="35">
        <v>0.11768050199606608</v>
      </c>
      <c r="N37">
        <v>1.055525</v>
      </c>
      <c r="O37" s="32">
        <f t="shared" si="0"/>
        <v>0.8367942616732188</v>
      </c>
      <c r="P37" s="32">
        <f t="shared" si="1"/>
        <v>-2.1397819369259077</v>
      </c>
      <c r="Q37" s="32">
        <f t="shared" si="2"/>
        <v>5.4038273482871602E-2</v>
      </c>
      <c r="R37" s="32">
        <f t="shared" si="3"/>
        <v>-0.17817704316007382</v>
      </c>
    </row>
    <row r="38" spans="1:23">
      <c r="A38">
        <v>22814</v>
      </c>
      <c r="B38" t="s">
        <v>12</v>
      </c>
      <c r="C38" s="32" t="s">
        <v>30</v>
      </c>
      <c r="D38" t="s">
        <v>9</v>
      </c>
      <c r="E38" t="s">
        <v>18</v>
      </c>
      <c r="F38">
        <v>1</v>
      </c>
      <c r="G38">
        <v>159</v>
      </c>
      <c r="H38">
        <v>2334</v>
      </c>
      <c r="I38">
        <v>1532</v>
      </c>
      <c r="J38" s="18">
        <v>0</v>
      </c>
      <c r="K38" s="18">
        <v>1504</v>
      </c>
      <c r="L38">
        <v>59148.816000000006</v>
      </c>
      <c r="M38">
        <v>6.4161700000000002E-2</v>
      </c>
      <c r="N38">
        <v>1.3035129999999999</v>
      </c>
      <c r="O38" s="32">
        <f t="shared" si="0"/>
        <v>1.5234986945169713</v>
      </c>
      <c r="P38" s="32">
        <f t="shared" si="1"/>
        <v>-2.7463488195155459</v>
      </c>
      <c r="Q38" s="32">
        <f t="shared" si="2"/>
        <v>0.26506292749090143</v>
      </c>
      <c r="R38" s="32">
        <f t="shared" si="3"/>
        <v>0.42100946254596466</v>
      </c>
      <c r="W38" s="1"/>
    </row>
    <row r="39" spans="1:23">
      <c r="A39">
        <v>22814</v>
      </c>
      <c r="B39" t="s">
        <v>12</v>
      </c>
      <c r="C39" s="32" t="s">
        <v>30</v>
      </c>
      <c r="D39" t="s">
        <v>9</v>
      </c>
      <c r="E39" t="s">
        <v>18</v>
      </c>
      <c r="F39">
        <v>2</v>
      </c>
      <c r="G39">
        <v>135</v>
      </c>
      <c r="H39">
        <v>1927</v>
      </c>
      <c r="I39">
        <v>1531</v>
      </c>
      <c r="J39" s="18">
        <v>0</v>
      </c>
      <c r="K39" s="18">
        <v>889</v>
      </c>
      <c r="L39">
        <v>59148.816000000006</v>
      </c>
      <c r="M39">
        <v>6.5982899999999997E-2</v>
      </c>
      <c r="N39">
        <v>1.3035129999999999</v>
      </c>
      <c r="O39" s="32">
        <f t="shared" si="0"/>
        <v>1.2586544741998693</v>
      </c>
      <c r="P39" s="32">
        <f t="shared" si="1"/>
        <v>-2.7183596614346506</v>
      </c>
      <c r="Q39" s="32">
        <f t="shared" si="2"/>
        <v>0.26506292749090143</v>
      </c>
      <c r="R39" s="32">
        <f t="shared" si="3"/>
        <v>0.2300432727566826</v>
      </c>
      <c r="W39" s="1"/>
    </row>
    <row r="40" spans="1:23">
      <c r="A40">
        <v>22814</v>
      </c>
      <c r="B40" t="s">
        <v>12</v>
      </c>
      <c r="C40" s="32" t="s">
        <v>30</v>
      </c>
      <c r="D40" t="s">
        <v>9</v>
      </c>
      <c r="E40" t="s">
        <v>18</v>
      </c>
      <c r="F40">
        <v>3</v>
      </c>
      <c r="G40">
        <v>99</v>
      </c>
      <c r="H40">
        <v>1378</v>
      </c>
      <c r="I40">
        <v>1528</v>
      </c>
      <c r="J40" s="18">
        <v>0</v>
      </c>
      <c r="K40" s="18">
        <v>682</v>
      </c>
      <c r="L40">
        <v>59148.816000000006</v>
      </c>
      <c r="M40">
        <v>6.7665199999999995E-2</v>
      </c>
      <c r="N40">
        <v>1.3035129999999999</v>
      </c>
      <c r="O40" s="32">
        <f t="shared" si="0"/>
        <v>0.90183246073298429</v>
      </c>
      <c r="P40" s="32">
        <f t="shared" si="1"/>
        <v>-2.6931832637202104</v>
      </c>
      <c r="Q40" s="32">
        <f t="shared" si="2"/>
        <v>0.26506292749090143</v>
      </c>
      <c r="R40" s="32">
        <f t="shared" si="3"/>
        <v>-0.10332651815286192</v>
      </c>
      <c r="W40" s="1"/>
    </row>
    <row r="41" spans="1:23">
      <c r="A41">
        <v>22814</v>
      </c>
      <c r="B41" t="s">
        <v>12</v>
      </c>
      <c r="C41" s="32" t="s">
        <v>30</v>
      </c>
      <c r="D41" t="s">
        <v>9</v>
      </c>
      <c r="E41" t="s">
        <v>18</v>
      </c>
      <c r="F41">
        <v>4</v>
      </c>
      <c r="G41">
        <v>100</v>
      </c>
      <c r="H41">
        <v>1376</v>
      </c>
      <c r="I41">
        <v>1526</v>
      </c>
      <c r="J41" s="18">
        <v>0</v>
      </c>
      <c r="K41" s="18">
        <v>548</v>
      </c>
      <c r="L41">
        <v>59148.816000000006</v>
      </c>
      <c r="M41">
        <v>6.8447999999999995E-2</v>
      </c>
      <c r="N41">
        <v>1.3035129999999999</v>
      </c>
      <c r="O41" s="32">
        <f t="shared" si="0"/>
        <v>0.90170380078636958</v>
      </c>
      <c r="P41" s="32">
        <f t="shared" si="1"/>
        <v>-2.681680946082142</v>
      </c>
      <c r="Q41" s="32">
        <f t="shared" si="2"/>
        <v>0.26506292749090143</v>
      </c>
      <c r="R41" s="32">
        <f t="shared" si="3"/>
        <v>-0.10346919335111336</v>
      </c>
      <c r="W41" s="1"/>
    </row>
    <row r="42" spans="1:23">
      <c r="A42">
        <v>22814</v>
      </c>
      <c r="B42" t="s">
        <v>12</v>
      </c>
      <c r="C42" s="32" t="s">
        <v>30</v>
      </c>
      <c r="D42" t="s">
        <v>9</v>
      </c>
      <c r="E42" t="s">
        <v>18</v>
      </c>
      <c r="F42">
        <v>5</v>
      </c>
      <c r="G42">
        <v>70</v>
      </c>
      <c r="H42">
        <v>928</v>
      </c>
      <c r="I42">
        <v>1528</v>
      </c>
      <c r="J42" s="18">
        <v>5</v>
      </c>
      <c r="K42" s="18">
        <v>278</v>
      </c>
      <c r="L42">
        <v>59148.816000000006</v>
      </c>
      <c r="M42">
        <v>7.1044300000000005E-2</v>
      </c>
      <c r="N42">
        <v>1.3035129999999999</v>
      </c>
      <c r="O42" s="32">
        <f t="shared" si="0"/>
        <v>0.60732984293193715</v>
      </c>
      <c r="P42" s="32">
        <f t="shared" si="1"/>
        <v>-2.644451652850766</v>
      </c>
      <c r="Q42" s="32">
        <f t="shared" si="2"/>
        <v>0.26506292749090143</v>
      </c>
      <c r="R42" s="32">
        <f t="shared" si="3"/>
        <v>-0.49868323694026528</v>
      </c>
      <c r="W42" s="1"/>
    </row>
    <row r="43" spans="1:23">
      <c r="A43">
        <v>22814</v>
      </c>
      <c r="B43" t="s">
        <v>12</v>
      </c>
      <c r="C43" s="32" t="s">
        <v>30</v>
      </c>
      <c r="D43" t="s">
        <v>9</v>
      </c>
      <c r="E43" t="s">
        <v>18</v>
      </c>
      <c r="F43">
        <v>6</v>
      </c>
      <c r="G43">
        <v>64</v>
      </c>
      <c r="H43">
        <v>838</v>
      </c>
      <c r="I43">
        <v>1525</v>
      </c>
      <c r="J43" s="18">
        <v>86</v>
      </c>
      <c r="K43" s="18">
        <v>74</v>
      </c>
      <c r="L43">
        <v>59148.816000000006</v>
      </c>
      <c r="M43">
        <v>7.1930900000000006E-2</v>
      </c>
      <c r="N43">
        <v>1.3035129999999999</v>
      </c>
      <c r="O43" s="32">
        <f t="shared" si="0"/>
        <v>0.54950819672131146</v>
      </c>
      <c r="P43" s="32">
        <f t="shared" si="1"/>
        <v>-2.6320493430165439</v>
      </c>
      <c r="Q43" s="32">
        <f t="shared" si="2"/>
        <v>0.26506292749090143</v>
      </c>
      <c r="R43" s="32">
        <f t="shared" si="3"/>
        <v>-0.59873158855942898</v>
      </c>
      <c r="W43" s="1"/>
    </row>
    <row r="44" spans="1:23">
      <c r="A44">
        <v>22814</v>
      </c>
      <c r="B44" t="s">
        <v>12</v>
      </c>
      <c r="C44" s="32" t="s">
        <v>30</v>
      </c>
      <c r="D44" t="s">
        <v>9</v>
      </c>
      <c r="E44" t="s">
        <v>18</v>
      </c>
      <c r="F44">
        <v>7</v>
      </c>
      <c r="G44">
        <v>64</v>
      </c>
      <c r="H44">
        <v>835</v>
      </c>
      <c r="I44">
        <v>1521</v>
      </c>
      <c r="J44" s="18">
        <v>341</v>
      </c>
      <c r="K44" s="18">
        <v>0</v>
      </c>
      <c r="L44">
        <v>59148.816000000006</v>
      </c>
      <c r="M44">
        <v>7.2189299999999998E-2</v>
      </c>
      <c r="N44">
        <v>1.3035129999999999</v>
      </c>
      <c r="O44" s="32">
        <f t="shared" si="0"/>
        <v>0.54898093359631817</v>
      </c>
      <c r="P44" s="32">
        <f t="shared" si="1"/>
        <v>-2.6284634435119627</v>
      </c>
      <c r="Q44" s="32">
        <f t="shared" si="2"/>
        <v>0.26506292749090143</v>
      </c>
      <c r="R44" s="32">
        <f t="shared" si="3"/>
        <v>-0.59969156740843743</v>
      </c>
      <c r="W44" s="1"/>
    </row>
    <row r="45" spans="1:23">
      <c r="A45">
        <v>22814</v>
      </c>
      <c r="B45" t="s">
        <v>12</v>
      </c>
      <c r="C45" s="32" t="s">
        <v>30</v>
      </c>
      <c r="D45" t="s">
        <v>9</v>
      </c>
      <c r="E45" t="s">
        <v>18</v>
      </c>
      <c r="F45">
        <v>8</v>
      </c>
      <c r="G45">
        <v>59</v>
      </c>
      <c r="H45">
        <v>782</v>
      </c>
      <c r="I45">
        <v>1521</v>
      </c>
      <c r="J45" s="18">
        <v>178</v>
      </c>
      <c r="K45" s="18">
        <v>0</v>
      </c>
      <c r="L45">
        <v>59148.816000000006</v>
      </c>
      <c r="M45">
        <v>7.1059899999999995E-2</v>
      </c>
      <c r="N45">
        <v>1.3035129999999999</v>
      </c>
      <c r="O45" s="32">
        <f t="shared" si="0"/>
        <v>0.51413543721236032</v>
      </c>
      <c r="P45" s="32">
        <f t="shared" si="1"/>
        <v>-2.6442320956517156</v>
      </c>
      <c r="Q45" s="32">
        <f t="shared" si="2"/>
        <v>0.26506292749090143</v>
      </c>
      <c r="R45" s="32">
        <f t="shared" si="3"/>
        <v>-0.66526855171398169</v>
      </c>
      <c r="W45" s="1"/>
    </row>
    <row r="46" spans="1:23">
      <c r="A46">
        <v>22814</v>
      </c>
      <c r="B46" t="s">
        <v>12</v>
      </c>
      <c r="C46" s="32" t="s">
        <v>30</v>
      </c>
      <c r="D46" t="s">
        <v>9</v>
      </c>
      <c r="E46" t="s">
        <v>18</v>
      </c>
      <c r="F46">
        <v>9</v>
      </c>
      <c r="G46">
        <v>63</v>
      </c>
      <c r="H46">
        <v>822</v>
      </c>
      <c r="I46">
        <v>1522</v>
      </c>
      <c r="J46" s="18">
        <v>34</v>
      </c>
      <c r="K46" s="18">
        <v>213</v>
      </c>
      <c r="L46">
        <v>59148.816000000006</v>
      </c>
      <c r="M46">
        <v>7.2185200000000005E-2</v>
      </c>
      <c r="N46">
        <v>1.3035129999999999</v>
      </c>
      <c r="O46" s="32">
        <f t="shared" si="0"/>
        <v>0.5400788436268068</v>
      </c>
      <c r="P46" s="32">
        <f t="shared" si="1"/>
        <v>-2.6285202402454733</v>
      </c>
      <c r="Q46" s="32">
        <f t="shared" si="2"/>
        <v>0.26506292749090143</v>
      </c>
      <c r="R46" s="32">
        <f t="shared" si="3"/>
        <v>-0.61604014336545132</v>
      </c>
      <c r="W46" s="1"/>
    </row>
    <row r="47" spans="1:23">
      <c r="A47">
        <v>22814</v>
      </c>
      <c r="B47" t="s">
        <v>12</v>
      </c>
      <c r="C47" s="32" t="s">
        <v>30</v>
      </c>
      <c r="D47" t="s">
        <v>9</v>
      </c>
      <c r="E47" t="s">
        <v>18</v>
      </c>
      <c r="F47">
        <v>10</v>
      </c>
      <c r="G47">
        <v>87</v>
      </c>
      <c r="H47">
        <v>1202</v>
      </c>
      <c r="I47">
        <v>1523</v>
      </c>
      <c r="J47" s="18">
        <v>0</v>
      </c>
      <c r="K47" s="18">
        <v>577</v>
      </c>
      <c r="L47">
        <v>59148.816000000006</v>
      </c>
      <c r="M47">
        <v>6.8170099999999997E-2</v>
      </c>
      <c r="N47">
        <v>1.3035129999999999</v>
      </c>
      <c r="O47" s="32">
        <f t="shared" si="0"/>
        <v>0.78923177938279709</v>
      </c>
      <c r="P47" s="32">
        <f t="shared" si="1"/>
        <v>-2.685749226687586</v>
      </c>
      <c r="Q47" s="32">
        <f t="shared" si="2"/>
        <v>0.26506292749090143</v>
      </c>
      <c r="R47" s="32">
        <f t="shared" si="3"/>
        <v>-0.23669523780000895</v>
      </c>
      <c r="W47" s="1"/>
    </row>
    <row r="48" spans="1:23">
      <c r="A48">
        <v>22814</v>
      </c>
      <c r="B48" t="s">
        <v>12</v>
      </c>
      <c r="C48" s="32" t="s">
        <v>30</v>
      </c>
      <c r="D48" t="s">
        <v>9</v>
      </c>
      <c r="E48" t="s">
        <v>18</v>
      </c>
      <c r="F48">
        <v>11</v>
      </c>
      <c r="G48">
        <v>125</v>
      </c>
      <c r="H48">
        <v>1801</v>
      </c>
      <c r="I48">
        <v>1524</v>
      </c>
      <c r="J48" s="18">
        <v>0</v>
      </c>
      <c r="K48" s="18">
        <v>868</v>
      </c>
      <c r="L48">
        <v>59148.816000000006</v>
      </c>
      <c r="M48">
        <v>6.53696E-2</v>
      </c>
      <c r="N48">
        <v>1.3035129999999999</v>
      </c>
      <c r="O48" s="32">
        <f t="shared" si="0"/>
        <v>1.181758530183727</v>
      </c>
      <c r="P48" s="32">
        <f t="shared" si="1"/>
        <v>-2.7276979603910587</v>
      </c>
      <c r="Q48" s="32">
        <f t="shared" si="2"/>
        <v>0.26506292749090143</v>
      </c>
      <c r="R48" s="32">
        <f t="shared" si="3"/>
        <v>0.16700360892936447</v>
      </c>
      <c r="W48" s="1"/>
    </row>
    <row r="49" spans="1:23">
      <c r="A49">
        <v>22814</v>
      </c>
      <c r="B49" t="s">
        <v>12</v>
      </c>
      <c r="C49" s="32" t="s">
        <v>30</v>
      </c>
      <c r="D49" t="s">
        <v>9</v>
      </c>
      <c r="E49" t="s">
        <v>18</v>
      </c>
      <c r="F49">
        <v>12</v>
      </c>
      <c r="G49">
        <v>165</v>
      </c>
      <c r="H49">
        <v>2287</v>
      </c>
      <c r="I49">
        <v>1522</v>
      </c>
      <c r="J49" s="18">
        <v>0</v>
      </c>
      <c r="K49" s="18">
        <v>1218</v>
      </c>
      <c r="L49">
        <v>59148.816000000006</v>
      </c>
      <c r="M49">
        <v>6.7951200000000003E-2</v>
      </c>
      <c r="N49">
        <v>1.3035129999999999</v>
      </c>
      <c r="O49" s="32">
        <f t="shared" si="0"/>
        <v>1.502628120893561</v>
      </c>
      <c r="P49" s="32">
        <f t="shared" si="1"/>
        <v>-2.6889654784967707</v>
      </c>
      <c r="Q49" s="32">
        <f t="shared" si="2"/>
        <v>0.26506292749090143</v>
      </c>
      <c r="R49" s="32">
        <f t="shared" si="3"/>
        <v>0.40721565560114992</v>
      </c>
      <c r="W49" s="1"/>
    </row>
    <row r="50" spans="1:23">
      <c r="A50">
        <v>17166</v>
      </c>
      <c r="B50" t="s">
        <v>13</v>
      </c>
      <c r="C50" s="32" t="s">
        <v>31</v>
      </c>
      <c r="D50" t="s">
        <v>9</v>
      </c>
      <c r="E50" t="s">
        <v>18</v>
      </c>
      <c r="F50">
        <v>1</v>
      </c>
      <c r="G50">
        <v>29693</v>
      </c>
      <c r="H50">
        <v>232540</v>
      </c>
      <c r="I50">
        <v>273977</v>
      </c>
      <c r="J50" s="20">
        <v>0</v>
      </c>
      <c r="K50" s="20">
        <v>1053</v>
      </c>
      <c r="L50">
        <v>51353.171999999991</v>
      </c>
      <c r="M50">
        <v>0.120264</v>
      </c>
      <c r="N50">
        <v>1.3035129999999999</v>
      </c>
      <c r="O50" s="32">
        <f t="shared" si="0"/>
        <v>0.84875737744409208</v>
      </c>
      <c r="P50" s="32">
        <f t="shared" si="1"/>
        <v>-2.1180659526566039</v>
      </c>
      <c r="Q50" s="32">
        <f t="shared" si="2"/>
        <v>0.26506292749090143</v>
      </c>
      <c r="R50" s="32">
        <f t="shared" si="3"/>
        <v>-0.16398190801847487</v>
      </c>
    </row>
    <row r="51" spans="1:23">
      <c r="A51">
        <v>17166</v>
      </c>
      <c r="B51" t="s">
        <v>13</v>
      </c>
      <c r="C51" s="32" t="s">
        <v>31</v>
      </c>
      <c r="D51" t="s">
        <v>9</v>
      </c>
      <c r="E51" t="s">
        <v>18</v>
      </c>
      <c r="F51">
        <v>2</v>
      </c>
      <c r="G51">
        <v>23326</v>
      </c>
      <c r="H51">
        <v>180682</v>
      </c>
      <c r="I51">
        <v>273554</v>
      </c>
      <c r="J51" s="20">
        <v>0</v>
      </c>
      <c r="K51" s="20">
        <v>708</v>
      </c>
      <c r="L51">
        <v>51353.171999999991</v>
      </c>
      <c r="M51">
        <v>0.1215919</v>
      </c>
      <c r="N51">
        <v>1.3035129999999999</v>
      </c>
      <c r="O51" s="32">
        <f t="shared" si="0"/>
        <v>0.66049847562090114</v>
      </c>
      <c r="P51" s="32">
        <f t="shared" si="1"/>
        <v>-2.1070849235108429</v>
      </c>
      <c r="Q51" s="32">
        <f t="shared" si="2"/>
        <v>0.26506292749090143</v>
      </c>
      <c r="R51" s="32">
        <f t="shared" si="3"/>
        <v>-0.41476046293929969</v>
      </c>
    </row>
    <row r="52" spans="1:23">
      <c r="A52">
        <v>17166</v>
      </c>
      <c r="B52" t="s">
        <v>13</v>
      </c>
      <c r="C52" s="32" t="s">
        <v>31</v>
      </c>
      <c r="D52" t="s">
        <v>9</v>
      </c>
      <c r="E52" t="s">
        <v>18</v>
      </c>
      <c r="F52">
        <v>3</v>
      </c>
      <c r="G52">
        <v>22692</v>
      </c>
      <c r="H52">
        <v>174454</v>
      </c>
      <c r="I52">
        <v>273722</v>
      </c>
      <c r="J52" s="20">
        <v>0</v>
      </c>
      <c r="K52" s="20">
        <v>500</v>
      </c>
      <c r="L52">
        <v>51353.171999999991</v>
      </c>
      <c r="M52">
        <v>0.1225099</v>
      </c>
      <c r="N52">
        <v>1.3035129999999999</v>
      </c>
      <c r="O52" s="32">
        <f t="shared" si="0"/>
        <v>0.63734007496657197</v>
      </c>
      <c r="P52" s="32">
        <f t="shared" si="1"/>
        <v>-2.0995634359362882</v>
      </c>
      <c r="Q52" s="32">
        <f t="shared" si="2"/>
        <v>0.26506292749090143</v>
      </c>
      <c r="R52" s="32">
        <f t="shared" si="3"/>
        <v>-0.45045189621842502</v>
      </c>
    </row>
    <row r="53" spans="1:23">
      <c r="A53">
        <v>17166</v>
      </c>
      <c r="B53" t="s">
        <v>13</v>
      </c>
      <c r="C53" s="32" t="s">
        <v>31</v>
      </c>
      <c r="D53" t="s">
        <v>9</v>
      </c>
      <c r="E53" t="s">
        <v>18</v>
      </c>
      <c r="F53">
        <v>4</v>
      </c>
      <c r="G53">
        <v>19188</v>
      </c>
      <c r="H53">
        <v>145787</v>
      </c>
      <c r="I53">
        <v>273915</v>
      </c>
      <c r="J53" s="20">
        <v>3</v>
      </c>
      <c r="K53" s="20">
        <v>417</v>
      </c>
      <c r="L53">
        <v>51353.171999999991</v>
      </c>
      <c r="M53">
        <v>0.1239624</v>
      </c>
      <c r="N53">
        <v>1.3035129999999999</v>
      </c>
      <c r="O53" s="32">
        <f t="shared" si="0"/>
        <v>0.53223445229359467</v>
      </c>
      <c r="P53" s="32">
        <f t="shared" si="1"/>
        <v>-2.0877769851657924</v>
      </c>
      <c r="Q53" s="32">
        <f t="shared" si="2"/>
        <v>0.26506292749090143</v>
      </c>
      <c r="R53" s="32">
        <f t="shared" si="3"/>
        <v>-0.63067118692013857</v>
      </c>
    </row>
    <row r="54" spans="1:23">
      <c r="A54">
        <v>17166</v>
      </c>
      <c r="B54" t="s">
        <v>13</v>
      </c>
      <c r="C54" s="32" t="s">
        <v>31</v>
      </c>
      <c r="D54" t="s">
        <v>9</v>
      </c>
      <c r="E54" t="s">
        <v>18</v>
      </c>
      <c r="F54">
        <v>5</v>
      </c>
      <c r="G54">
        <v>21166</v>
      </c>
      <c r="H54">
        <v>161930</v>
      </c>
      <c r="I54">
        <v>273800</v>
      </c>
      <c r="J54" s="20">
        <v>48</v>
      </c>
      <c r="K54" s="20">
        <v>154</v>
      </c>
      <c r="L54">
        <v>51353.171999999991</v>
      </c>
      <c r="M54">
        <v>0.1231093</v>
      </c>
      <c r="N54">
        <v>1.3035129999999999</v>
      </c>
      <c r="O54" s="32">
        <f t="shared" si="0"/>
        <v>0.59141709276844412</v>
      </c>
      <c r="P54" s="32">
        <f t="shared" si="1"/>
        <v>-2.0946827003106736</v>
      </c>
      <c r="Q54" s="32">
        <f t="shared" si="2"/>
        <v>0.26506292749090143</v>
      </c>
      <c r="R54" s="32">
        <f t="shared" si="3"/>
        <v>-0.52523376976896907</v>
      </c>
    </row>
    <row r="55" spans="1:23">
      <c r="A55">
        <v>17166</v>
      </c>
      <c r="B55" t="s">
        <v>13</v>
      </c>
      <c r="C55" s="32" t="s">
        <v>31</v>
      </c>
      <c r="D55" t="s">
        <v>9</v>
      </c>
      <c r="E55" t="s">
        <v>18</v>
      </c>
      <c r="F55">
        <v>6</v>
      </c>
      <c r="G55">
        <v>21700</v>
      </c>
      <c r="H55">
        <v>165436</v>
      </c>
      <c r="I55">
        <v>274479</v>
      </c>
      <c r="J55" s="20">
        <v>181</v>
      </c>
      <c r="K55" s="20">
        <v>40</v>
      </c>
      <c r="L55">
        <v>51353.171999999991</v>
      </c>
      <c r="M55">
        <v>0.12354039999999999</v>
      </c>
      <c r="N55">
        <v>1.3035129999999999</v>
      </c>
      <c r="O55" s="32">
        <f t="shared" si="0"/>
        <v>0.60272734890465207</v>
      </c>
      <c r="P55" s="32">
        <f t="shared" si="1"/>
        <v>-2.0911870509019148</v>
      </c>
      <c r="Q55" s="32">
        <f t="shared" si="2"/>
        <v>0.26506292749090143</v>
      </c>
      <c r="R55" s="32">
        <f t="shared" si="3"/>
        <v>-0.50629034221279856</v>
      </c>
    </row>
    <row r="56" spans="1:23">
      <c r="A56">
        <v>17166</v>
      </c>
      <c r="B56" t="s">
        <v>13</v>
      </c>
      <c r="C56" s="32" t="s">
        <v>31</v>
      </c>
      <c r="D56" t="s">
        <v>9</v>
      </c>
      <c r="E56" t="s">
        <v>18</v>
      </c>
      <c r="F56">
        <v>7</v>
      </c>
      <c r="G56">
        <v>30910</v>
      </c>
      <c r="H56">
        <v>240845</v>
      </c>
      <c r="I56">
        <v>274565</v>
      </c>
      <c r="J56" s="20">
        <v>429</v>
      </c>
      <c r="K56" s="20">
        <v>0</v>
      </c>
      <c r="L56">
        <v>51353.171999999991</v>
      </c>
      <c r="M56">
        <v>0.1208761</v>
      </c>
      <c r="N56">
        <v>1.3035129999999999</v>
      </c>
      <c r="O56" s="32">
        <f t="shared" si="0"/>
        <v>0.87718755121738023</v>
      </c>
      <c r="P56" s="32">
        <f t="shared" si="1"/>
        <v>-2.1129892249398483</v>
      </c>
      <c r="Q56" s="32">
        <f t="shared" si="2"/>
        <v>0.26506292749090143</v>
      </c>
      <c r="R56" s="32">
        <f t="shared" si="3"/>
        <v>-0.13103445403775874</v>
      </c>
    </row>
    <row r="57" spans="1:23">
      <c r="A57">
        <v>17166</v>
      </c>
      <c r="B57" t="s">
        <v>13</v>
      </c>
      <c r="C57" s="32" t="s">
        <v>31</v>
      </c>
      <c r="D57" t="s">
        <v>9</v>
      </c>
      <c r="E57" t="s">
        <v>18</v>
      </c>
      <c r="F57">
        <v>8</v>
      </c>
      <c r="G57">
        <v>31140</v>
      </c>
      <c r="H57">
        <v>242664</v>
      </c>
      <c r="I57">
        <v>275262</v>
      </c>
      <c r="J57" s="20">
        <v>341</v>
      </c>
      <c r="K57" s="20">
        <v>0</v>
      </c>
      <c r="L57">
        <v>51353.171999999991</v>
      </c>
      <c r="M57">
        <v>0.12086280000000001</v>
      </c>
      <c r="N57">
        <v>1.3035129999999999</v>
      </c>
      <c r="O57" s="32">
        <f t="shared" si="0"/>
        <v>0.88157464524707374</v>
      </c>
      <c r="P57" s="32">
        <f t="shared" si="1"/>
        <v>-2.1130992610160728</v>
      </c>
      <c r="Q57" s="32">
        <f t="shared" si="2"/>
        <v>0.26506292749090143</v>
      </c>
      <c r="R57" s="32">
        <f t="shared" si="3"/>
        <v>-0.12604560092551706</v>
      </c>
    </row>
    <row r="58" spans="1:23">
      <c r="A58">
        <v>17166</v>
      </c>
      <c r="B58" t="s">
        <v>13</v>
      </c>
      <c r="C58" s="32" t="s">
        <v>31</v>
      </c>
      <c r="D58" t="s">
        <v>9</v>
      </c>
      <c r="E58" t="s">
        <v>18</v>
      </c>
      <c r="F58">
        <v>9</v>
      </c>
      <c r="G58">
        <v>23251</v>
      </c>
      <c r="H58">
        <v>178086</v>
      </c>
      <c r="I58">
        <v>275157</v>
      </c>
      <c r="J58" s="20">
        <v>92</v>
      </c>
      <c r="K58" s="20">
        <v>150</v>
      </c>
      <c r="L58">
        <v>51353.171999999991</v>
      </c>
      <c r="M58">
        <v>0.1229677</v>
      </c>
      <c r="N58">
        <v>1.3035129999999999</v>
      </c>
      <c r="O58" s="32">
        <f t="shared" si="0"/>
        <v>0.64721595307406321</v>
      </c>
      <c r="P58" s="32">
        <f t="shared" si="1"/>
        <v>-2.0958335597215805</v>
      </c>
      <c r="Q58" s="32">
        <f t="shared" si="2"/>
        <v>0.26506292749090143</v>
      </c>
      <c r="R58" s="32">
        <f t="shared" si="3"/>
        <v>-0.43507526416886594</v>
      </c>
    </row>
    <row r="59" spans="1:23">
      <c r="A59">
        <v>17166</v>
      </c>
      <c r="B59" t="s">
        <v>13</v>
      </c>
      <c r="C59" s="32" t="s">
        <v>31</v>
      </c>
      <c r="D59" t="s">
        <v>9</v>
      </c>
      <c r="E59" t="s">
        <v>18</v>
      </c>
      <c r="F59">
        <v>10</v>
      </c>
      <c r="G59">
        <v>19386</v>
      </c>
      <c r="H59">
        <v>147477</v>
      </c>
      <c r="I59">
        <v>275541</v>
      </c>
      <c r="J59" s="20">
        <v>0</v>
      </c>
      <c r="K59" s="20">
        <v>413</v>
      </c>
      <c r="L59">
        <v>51353.171999999991</v>
      </c>
      <c r="M59">
        <v>0.1238064</v>
      </c>
      <c r="N59">
        <v>1.3035129999999999</v>
      </c>
      <c r="O59" s="32">
        <f t="shared" si="0"/>
        <v>0.5352270623972476</v>
      </c>
      <c r="P59" s="32">
        <f t="shared" si="1"/>
        <v>-2.0890362237835185</v>
      </c>
      <c r="Q59" s="32">
        <f t="shared" si="2"/>
        <v>0.26506292749090143</v>
      </c>
      <c r="R59" s="32">
        <f t="shared" si="3"/>
        <v>-0.62506420642920701</v>
      </c>
    </row>
    <row r="60" spans="1:23">
      <c r="A60">
        <v>17166</v>
      </c>
      <c r="B60" t="s">
        <v>13</v>
      </c>
      <c r="C60" s="32" t="s">
        <v>31</v>
      </c>
      <c r="D60" t="s">
        <v>9</v>
      </c>
      <c r="E60" t="s">
        <v>18</v>
      </c>
      <c r="F60">
        <v>11</v>
      </c>
      <c r="G60">
        <v>21620</v>
      </c>
      <c r="H60">
        <v>167223</v>
      </c>
      <c r="I60">
        <v>274980</v>
      </c>
      <c r="J60" s="20">
        <v>0</v>
      </c>
      <c r="K60" s="20">
        <v>610</v>
      </c>
      <c r="L60">
        <v>51353.171999999991</v>
      </c>
      <c r="M60">
        <v>0.12176960000000001</v>
      </c>
      <c r="N60">
        <v>1.3035129999999999</v>
      </c>
      <c r="O60" s="32">
        <f t="shared" si="0"/>
        <v>0.60812786384464323</v>
      </c>
      <c r="P60" s="32">
        <f t="shared" si="1"/>
        <v>-2.1056245443499497</v>
      </c>
      <c r="Q60" s="32">
        <f t="shared" si="2"/>
        <v>0.26506292749090143</v>
      </c>
      <c r="R60" s="32">
        <f t="shared" si="3"/>
        <v>-0.49737011675035692</v>
      </c>
    </row>
    <row r="61" spans="1:23">
      <c r="A61">
        <v>17166</v>
      </c>
      <c r="B61" t="s">
        <v>13</v>
      </c>
      <c r="C61" s="32" t="s">
        <v>31</v>
      </c>
      <c r="D61" t="s">
        <v>9</v>
      </c>
      <c r="E61" t="s">
        <v>18</v>
      </c>
      <c r="F61">
        <v>12</v>
      </c>
      <c r="G61">
        <v>28145</v>
      </c>
      <c r="H61">
        <v>222572</v>
      </c>
      <c r="I61">
        <v>275933</v>
      </c>
      <c r="J61" s="20">
        <v>0</v>
      </c>
      <c r="K61" s="20">
        <v>986</v>
      </c>
      <c r="L61">
        <v>51353.171999999991</v>
      </c>
      <c r="M61">
        <v>0.1190995</v>
      </c>
      <c r="N61">
        <v>1.3035129999999999</v>
      </c>
      <c r="O61" s="32">
        <f t="shared" si="0"/>
        <v>0.80661609883558694</v>
      </c>
      <c r="P61" s="32">
        <f t="shared" si="1"/>
        <v>-2.1277960007825079</v>
      </c>
      <c r="Q61" s="32">
        <f t="shared" si="2"/>
        <v>0.26506292749090143</v>
      </c>
      <c r="R61" s="32">
        <f t="shared" si="3"/>
        <v>-0.21490743785835195</v>
      </c>
    </row>
    <row r="62" spans="1:23">
      <c r="A62">
        <v>19840</v>
      </c>
      <c r="B62" t="s">
        <v>14</v>
      </c>
      <c r="C62" s="32" t="s">
        <v>32</v>
      </c>
      <c r="D62" t="s">
        <v>9</v>
      </c>
      <c r="E62" t="s">
        <v>18</v>
      </c>
      <c r="F62">
        <v>1</v>
      </c>
      <c r="G62">
        <v>3772</v>
      </c>
      <c r="H62">
        <v>34271</v>
      </c>
      <c r="I62">
        <v>17678</v>
      </c>
      <c r="J62" s="25">
        <v>0</v>
      </c>
      <c r="K62" s="25">
        <v>1178</v>
      </c>
      <c r="L62">
        <v>39395.508000000002</v>
      </c>
      <c r="M62">
        <v>0.10366309999999999</v>
      </c>
      <c r="N62">
        <v>1.055525</v>
      </c>
      <c r="O62" s="32">
        <f t="shared" si="0"/>
        <v>1.9386242787645662</v>
      </c>
      <c r="P62" s="32">
        <f t="shared" si="1"/>
        <v>-2.2666090612075775</v>
      </c>
      <c r="Q62" s="32">
        <f t="shared" si="2"/>
        <v>5.4038273482871602E-2</v>
      </c>
      <c r="R62" s="32">
        <f t="shared" si="3"/>
        <v>0.66197858686288424</v>
      </c>
    </row>
    <row r="63" spans="1:23">
      <c r="A63">
        <v>19840</v>
      </c>
      <c r="B63" t="s">
        <v>14</v>
      </c>
      <c r="C63" s="32" t="s">
        <v>32</v>
      </c>
      <c r="D63" t="s">
        <v>9</v>
      </c>
      <c r="E63" t="s">
        <v>18</v>
      </c>
      <c r="F63">
        <v>2</v>
      </c>
      <c r="G63">
        <v>3331</v>
      </c>
      <c r="H63">
        <v>29760</v>
      </c>
      <c r="I63">
        <v>17780</v>
      </c>
      <c r="J63" s="25">
        <v>0</v>
      </c>
      <c r="K63" s="25">
        <v>725</v>
      </c>
      <c r="L63">
        <v>39395.508000000002</v>
      </c>
      <c r="M63">
        <v>0.1054195</v>
      </c>
      <c r="N63">
        <v>1.055525</v>
      </c>
      <c r="O63" s="32">
        <f t="shared" si="0"/>
        <v>1.6737907761529809</v>
      </c>
      <c r="P63" s="32">
        <f t="shared" si="1"/>
        <v>-2.2498076504993536</v>
      </c>
      <c r="Q63" s="32">
        <f t="shared" si="2"/>
        <v>5.4038273482871602E-2</v>
      </c>
      <c r="R63" s="32">
        <f t="shared" si="3"/>
        <v>0.51509097987913255</v>
      </c>
    </row>
    <row r="64" spans="1:23">
      <c r="A64">
        <v>19840</v>
      </c>
      <c r="B64" t="s">
        <v>14</v>
      </c>
      <c r="C64" s="32" t="s">
        <v>32</v>
      </c>
      <c r="D64" t="s">
        <v>9</v>
      </c>
      <c r="E64" t="s">
        <v>18</v>
      </c>
      <c r="F64">
        <v>3</v>
      </c>
      <c r="G64">
        <v>2265</v>
      </c>
      <c r="H64">
        <v>19368</v>
      </c>
      <c r="I64">
        <v>17818</v>
      </c>
      <c r="J64" s="25">
        <v>0</v>
      </c>
      <c r="K64" s="25">
        <v>557</v>
      </c>
      <c r="L64">
        <v>39395.508000000002</v>
      </c>
      <c r="M64">
        <v>0.11014450000000001</v>
      </c>
      <c r="N64">
        <v>1.055525</v>
      </c>
      <c r="O64" s="32">
        <f t="shared" si="0"/>
        <v>1.0869906835784038</v>
      </c>
      <c r="P64" s="32">
        <f t="shared" si="1"/>
        <v>-2.2059621388914548</v>
      </c>
      <c r="Q64" s="32">
        <f t="shared" si="2"/>
        <v>5.4038273482871602E-2</v>
      </c>
      <c r="R64" s="32">
        <f t="shared" si="3"/>
        <v>8.3413037337305262E-2</v>
      </c>
    </row>
    <row r="65" spans="1:18">
      <c r="A65">
        <v>19840</v>
      </c>
      <c r="B65" t="s">
        <v>14</v>
      </c>
      <c r="C65" s="32" t="s">
        <v>32</v>
      </c>
      <c r="D65" t="s">
        <v>9</v>
      </c>
      <c r="E65" t="s">
        <v>18</v>
      </c>
      <c r="F65">
        <v>4</v>
      </c>
      <c r="G65">
        <v>1960</v>
      </c>
      <c r="H65">
        <v>16385</v>
      </c>
      <c r="I65">
        <v>17871</v>
      </c>
      <c r="J65" s="25">
        <v>0</v>
      </c>
      <c r="K65" s="25">
        <v>386</v>
      </c>
      <c r="L65">
        <v>39395.508000000002</v>
      </c>
      <c r="M65">
        <v>0.112665</v>
      </c>
      <c r="N65">
        <v>1.055525</v>
      </c>
      <c r="O65" s="32">
        <f t="shared" si="0"/>
        <v>0.91684852554417773</v>
      </c>
      <c r="P65" s="32">
        <f t="shared" si="1"/>
        <v>-2.1833364651760521</v>
      </c>
      <c r="Q65" s="32">
        <f t="shared" si="2"/>
        <v>5.4038273482871602E-2</v>
      </c>
      <c r="R65" s="32">
        <f t="shared" si="3"/>
        <v>-8.6813005163882156E-2</v>
      </c>
    </row>
    <row r="66" spans="1:18">
      <c r="A66">
        <v>19840</v>
      </c>
      <c r="B66" t="s">
        <v>14</v>
      </c>
      <c r="C66" s="32" t="s">
        <v>32</v>
      </c>
      <c r="D66" t="s">
        <v>9</v>
      </c>
      <c r="E66" t="s">
        <v>18</v>
      </c>
      <c r="F66">
        <v>5</v>
      </c>
      <c r="G66">
        <v>2030</v>
      </c>
      <c r="H66">
        <v>17065</v>
      </c>
      <c r="I66">
        <v>17908</v>
      </c>
      <c r="J66" s="25">
        <v>20</v>
      </c>
      <c r="K66" s="25">
        <v>136</v>
      </c>
      <c r="L66">
        <v>39395.508000000002</v>
      </c>
      <c r="M66">
        <v>0.1120389</v>
      </c>
      <c r="N66">
        <v>1.055525</v>
      </c>
      <c r="O66" s="32">
        <f t="shared" si="0"/>
        <v>0.95292606656243017</v>
      </c>
      <c r="P66" s="32">
        <f t="shared" si="1"/>
        <v>-2.1889091465605959</v>
      </c>
      <c r="Q66" s="32">
        <f t="shared" si="2"/>
        <v>5.4038273482871602E-2</v>
      </c>
      <c r="R66" s="32">
        <f t="shared" si="3"/>
        <v>-4.821795802004876E-2</v>
      </c>
    </row>
    <row r="67" spans="1:18">
      <c r="A67">
        <v>19840</v>
      </c>
      <c r="B67" t="s">
        <v>14</v>
      </c>
      <c r="C67" s="32" t="s">
        <v>32</v>
      </c>
      <c r="D67" t="s">
        <v>9</v>
      </c>
      <c r="E67" t="s">
        <v>18</v>
      </c>
      <c r="F67">
        <v>6</v>
      </c>
      <c r="G67">
        <v>2640</v>
      </c>
      <c r="H67">
        <v>23005</v>
      </c>
      <c r="I67">
        <v>17955</v>
      </c>
      <c r="J67" s="25">
        <v>213</v>
      </c>
      <c r="K67" s="25">
        <v>34</v>
      </c>
      <c r="L67">
        <v>39395.508000000002</v>
      </c>
      <c r="M67">
        <v>0.1080839</v>
      </c>
      <c r="N67">
        <v>1.055525</v>
      </c>
      <c r="O67" s="32">
        <f t="shared" ref="O67:O85" si="4">H67/I67</f>
        <v>1.281258702311334</v>
      </c>
      <c r="P67" s="32">
        <f t="shared" ref="P67:P85" si="5">LN(M67)</f>
        <v>-2.2248475015992799</v>
      </c>
      <c r="Q67" s="32">
        <f t="shared" ref="Q67:Q85" si="6">LN(N67)</f>
        <v>5.4038273482871602E-2</v>
      </c>
      <c r="R67" s="32">
        <f t="shared" ref="R67:R85" si="7">LN(O67)</f>
        <v>0.24784295592938582</v>
      </c>
    </row>
    <row r="68" spans="1:18">
      <c r="A68">
        <v>19840</v>
      </c>
      <c r="B68" t="s">
        <v>14</v>
      </c>
      <c r="C68" s="32" t="s">
        <v>32</v>
      </c>
      <c r="D68" t="s">
        <v>9</v>
      </c>
      <c r="E68" t="s">
        <v>18</v>
      </c>
      <c r="F68">
        <v>7</v>
      </c>
      <c r="G68">
        <v>3309</v>
      </c>
      <c r="H68">
        <v>29508</v>
      </c>
      <c r="I68">
        <v>18042</v>
      </c>
      <c r="J68" s="25">
        <v>433</v>
      </c>
      <c r="K68" s="25">
        <v>0</v>
      </c>
      <c r="L68">
        <v>39395.508000000002</v>
      </c>
      <c r="M68">
        <v>0.10561760000000001</v>
      </c>
      <c r="N68">
        <v>1.055525</v>
      </c>
      <c r="O68" s="32">
        <f t="shared" si="4"/>
        <v>1.6355171267043564</v>
      </c>
      <c r="P68" s="32">
        <f t="shared" si="5"/>
        <v>-2.247930254930655</v>
      </c>
      <c r="Q68" s="32">
        <f t="shared" si="6"/>
        <v>5.4038273482871602E-2</v>
      </c>
      <c r="R68" s="32">
        <f t="shared" si="7"/>
        <v>0.4919590397876088</v>
      </c>
    </row>
    <row r="69" spans="1:18">
      <c r="A69">
        <v>19840</v>
      </c>
      <c r="B69" t="s">
        <v>14</v>
      </c>
      <c r="C69" s="32" t="s">
        <v>32</v>
      </c>
      <c r="D69" t="s">
        <v>9</v>
      </c>
      <c r="E69" t="s">
        <v>18</v>
      </c>
      <c r="F69">
        <v>8</v>
      </c>
      <c r="G69">
        <v>3633</v>
      </c>
      <c r="H69">
        <v>32648</v>
      </c>
      <c r="I69">
        <v>18110</v>
      </c>
      <c r="J69" s="25">
        <v>288</v>
      </c>
      <c r="K69" s="25">
        <v>0</v>
      </c>
      <c r="L69">
        <v>39395.508000000002</v>
      </c>
      <c r="M69">
        <v>0.1048065</v>
      </c>
      <c r="N69">
        <v>1.055525</v>
      </c>
      <c r="O69" s="32">
        <f t="shared" si="4"/>
        <v>1.8027609055770293</v>
      </c>
      <c r="P69" s="32">
        <f t="shared" si="5"/>
        <v>-2.2556394861177727</v>
      </c>
      <c r="Q69" s="32">
        <f t="shared" si="6"/>
        <v>5.4038273482871602E-2</v>
      </c>
      <c r="R69" s="32">
        <f t="shared" si="7"/>
        <v>0.5893193262081825</v>
      </c>
    </row>
    <row r="70" spans="1:18">
      <c r="A70">
        <v>19840</v>
      </c>
      <c r="B70" t="s">
        <v>14</v>
      </c>
      <c r="C70" s="32" t="s">
        <v>32</v>
      </c>
      <c r="D70" t="s">
        <v>9</v>
      </c>
      <c r="E70" t="s">
        <v>18</v>
      </c>
      <c r="F70">
        <v>9</v>
      </c>
      <c r="G70">
        <v>3284</v>
      </c>
      <c r="H70">
        <v>29246</v>
      </c>
      <c r="I70">
        <v>18121</v>
      </c>
      <c r="J70" s="25">
        <v>92</v>
      </c>
      <c r="K70" s="25">
        <v>161</v>
      </c>
      <c r="L70">
        <v>39395.508000000002</v>
      </c>
      <c r="M70">
        <v>0.1057587</v>
      </c>
      <c r="N70">
        <v>1.055525</v>
      </c>
      <c r="O70" s="32">
        <f t="shared" si="4"/>
        <v>1.6139285911373544</v>
      </c>
      <c r="P70" s="32">
        <f t="shared" si="5"/>
        <v>-2.2465951949361536</v>
      </c>
      <c r="Q70" s="32">
        <f t="shared" si="6"/>
        <v>5.4038273482871602E-2</v>
      </c>
      <c r="R70" s="32">
        <f t="shared" si="7"/>
        <v>0.47867132545966662</v>
      </c>
    </row>
    <row r="71" spans="1:18">
      <c r="A71">
        <v>19840</v>
      </c>
      <c r="B71" t="s">
        <v>14</v>
      </c>
      <c r="C71" s="32" t="s">
        <v>32</v>
      </c>
      <c r="D71" t="s">
        <v>9</v>
      </c>
      <c r="E71" t="s">
        <v>18</v>
      </c>
      <c r="F71">
        <v>10</v>
      </c>
      <c r="G71">
        <v>1971</v>
      </c>
      <c r="H71">
        <v>16457</v>
      </c>
      <c r="I71">
        <v>18140</v>
      </c>
      <c r="J71" s="25">
        <v>0</v>
      </c>
      <c r="K71" s="25">
        <v>441</v>
      </c>
      <c r="L71">
        <v>39395.508000000002</v>
      </c>
      <c r="M71">
        <v>0.1128016</v>
      </c>
      <c r="N71">
        <v>1.055525</v>
      </c>
      <c r="O71" s="32">
        <f t="shared" si="4"/>
        <v>0.90722160970231536</v>
      </c>
      <c r="P71" s="32">
        <f t="shared" si="5"/>
        <v>-2.1821247556216128</v>
      </c>
      <c r="Q71" s="32">
        <f t="shared" si="6"/>
        <v>5.4038273482871602E-2</v>
      </c>
      <c r="R71" s="32">
        <f t="shared" si="7"/>
        <v>-9.7368526073744743E-2</v>
      </c>
    </row>
    <row r="72" spans="1:18">
      <c r="A72">
        <v>19840</v>
      </c>
      <c r="B72" t="s">
        <v>14</v>
      </c>
      <c r="C72" s="32" t="s">
        <v>32</v>
      </c>
      <c r="D72" t="s">
        <v>9</v>
      </c>
      <c r="E72" t="s">
        <v>18</v>
      </c>
      <c r="F72">
        <v>11</v>
      </c>
      <c r="G72">
        <v>1943.69</v>
      </c>
      <c r="H72">
        <v>16184.4</v>
      </c>
      <c r="I72">
        <v>18213</v>
      </c>
      <c r="J72" s="25">
        <v>0</v>
      </c>
      <c r="K72" s="25">
        <v>699</v>
      </c>
      <c r="L72">
        <v>39395.508000000002</v>
      </c>
      <c r="M72">
        <v>0.1131122</v>
      </c>
      <c r="N72">
        <v>1.055525</v>
      </c>
      <c r="O72" s="32">
        <f t="shared" si="4"/>
        <v>0.88861802009553614</v>
      </c>
      <c r="P72" s="32">
        <f t="shared" si="5"/>
        <v>-2.1793750325351682</v>
      </c>
      <c r="Q72" s="32">
        <f t="shared" si="6"/>
        <v>5.4038273482871602E-2</v>
      </c>
      <c r="R72" s="32">
        <f t="shared" si="7"/>
        <v>-0.11808780948773154</v>
      </c>
    </row>
    <row r="73" spans="1:18">
      <c r="A73">
        <v>19840</v>
      </c>
      <c r="B73" t="s">
        <v>14</v>
      </c>
      <c r="C73" s="32" t="s">
        <v>32</v>
      </c>
      <c r="D73" t="s">
        <v>9</v>
      </c>
      <c r="E73" t="s">
        <v>18</v>
      </c>
      <c r="F73">
        <v>12</v>
      </c>
      <c r="G73">
        <v>2929.63</v>
      </c>
      <c r="H73">
        <v>25759.4</v>
      </c>
      <c r="I73">
        <v>18333</v>
      </c>
      <c r="J73" s="25">
        <v>0</v>
      </c>
      <c r="K73" s="25">
        <v>1088</v>
      </c>
      <c r="L73">
        <v>39395.508000000002</v>
      </c>
      <c r="M73">
        <v>0.1071165</v>
      </c>
      <c r="N73">
        <v>1.055525</v>
      </c>
      <c r="O73" s="32">
        <f t="shared" si="4"/>
        <v>1.405083728795069</v>
      </c>
      <c r="P73" s="32">
        <f t="shared" si="5"/>
        <v>-2.2338382517700572</v>
      </c>
      <c r="Q73" s="32">
        <f t="shared" si="6"/>
        <v>5.4038273482871602E-2</v>
      </c>
      <c r="R73" s="32">
        <f t="shared" si="7"/>
        <v>0.3400968944585378</v>
      </c>
    </row>
    <row r="74" spans="1:18">
      <c r="A74">
        <v>20332</v>
      </c>
      <c r="B74" t="s">
        <v>15</v>
      </c>
      <c r="C74" s="32" t="s">
        <v>33</v>
      </c>
      <c r="D74" t="s">
        <v>9</v>
      </c>
      <c r="E74" t="s">
        <v>18</v>
      </c>
      <c r="F74">
        <v>1</v>
      </c>
      <c r="G74">
        <v>570</v>
      </c>
      <c r="H74">
        <v>6509</v>
      </c>
      <c r="I74">
        <v>4130</v>
      </c>
      <c r="J74" s="29">
        <v>0</v>
      </c>
      <c r="K74" s="29">
        <v>1385</v>
      </c>
      <c r="L74">
        <v>50960.423999999999</v>
      </c>
      <c r="M74">
        <v>8.2478300000000004E-2</v>
      </c>
      <c r="N74">
        <v>1.3035129999999999</v>
      </c>
      <c r="O74" s="32">
        <f t="shared" si="4"/>
        <v>1.5760290556900727</v>
      </c>
      <c r="P74" s="32">
        <f t="shared" si="5"/>
        <v>-2.4952200505430691</v>
      </c>
      <c r="Q74" s="32">
        <f t="shared" si="6"/>
        <v>0.26506292749090143</v>
      </c>
      <c r="R74" s="32">
        <f t="shared" si="7"/>
        <v>0.45490842761730887</v>
      </c>
    </row>
    <row r="75" spans="1:18">
      <c r="A75">
        <v>20332</v>
      </c>
      <c r="B75" t="s">
        <v>15</v>
      </c>
      <c r="C75" s="32" t="s">
        <v>33</v>
      </c>
      <c r="D75" t="s">
        <v>9</v>
      </c>
      <c r="E75" t="s">
        <v>18</v>
      </c>
      <c r="F75">
        <v>2</v>
      </c>
      <c r="G75">
        <v>555</v>
      </c>
      <c r="H75">
        <v>6751</v>
      </c>
      <c r="I75">
        <v>4125</v>
      </c>
      <c r="J75" s="29">
        <v>0</v>
      </c>
      <c r="K75" s="29">
        <v>958</v>
      </c>
      <c r="L75">
        <v>50960.423999999999</v>
      </c>
      <c r="M75">
        <v>7.7429100000000001E-2</v>
      </c>
      <c r="N75">
        <v>1.3035129999999999</v>
      </c>
      <c r="O75" s="32">
        <f t="shared" si="4"/>
        <v>1.6366060606060606</v>
      </c>
      <c r="P75" s="32">
        <f t="shared" si="5"/>
        <v>-2.5583926000528394</v>
      </c>
      <c r="Q75" s="32">
        <f t="shared" si="6"/>
        <v>0.26506292749090143</v>
      </c>
      <c r="R75" s="32">
        <f t="shared" si="7"/>
        <v>0.49262462227308912</v>
      </c>
    </row>
    <row r="76" spans="1:18">
      <c r="A76">
        <v>20332</v>
      </c>
      <c r="B76" t="s">
        <v>15</v>
      </c>
      <c r="C76" s="32" t="s">
        <v>33</v>
      </c>
      <c r="D76" t="s">
        <v>9</v>
      </c>
      <c r="E76" t="s">
        <v>18</v>
      </c>
      <c r="F76">
        <v>3</v>
      </c>
      <c r="G76">
        <v>419</v>
      </c>
      <c r="H76">
        <v>4792</v>
      </c>
      <c r="I76">
        <v>4127</v>
      </c>
      <c r="J76" s="29">
        <v>0</v>
      </c>
      <c r="K76" s="29">
        <v>820</v>
      </c>
      <c r="L76">
        <v>50960.423999999999</v>
      </c>
      <c r="M76">
        <v>8.2352400000000006E-2</v>
      </c>
      <c r="N76">
        <v>1.3035129999999999</v>
      </c>
      <c r="O76" s="32">
        <f t="shared" si="4"/>
        <v>1.1611339956384783</v>
      </c>
      <c r="P76" s="32">
        <f t="shared" si="5"/>
        <v>-2.4967476788851664</v>
      </c>
      <c r="Q76" s="32">
        <f t="shared" si="6"/>
        <v>0.26506292749090143</v>
      </c>
      <c r="R76" s="32">
        <f t="shared" si="7"/>
        <v>0.14939711004270345</v>
      </c>
    </row>
    <row r="77" spans="1:18">
      <c r="A77">
        <v>20332</v>
      </c>
      <c r="B77" t="s">
        <v>15</v>
      </c>
      <c r="C77" s="32" t="s">
        <v>33</v>
      </c>
      <c r="D77" t="s">
        <v>9</v>
      </c>
      <c r="E77" t="s">
        <v>18</v>
      </c>
      <c r="F77">
        <v>4</v>
      </c>
      <c r="G77">
        <v>340</v>
      </c>
      <c r="H77">
        <v>4235</v>
      </c>
      <c r="I77">
        <v>4141</v>
      </c>
      <c r="J77" s="29">
        <v>0</v>
      </c>
      <c r="K77" s="29">
        <v>641</v>
      </c>
      <c r="L77">
        <v>50960.423999999999</v>
      </c>
      <c r="M77">
        <v>7.5614399999999998E-2</v>
      </c>
      <c r="N77">
        <v>1.3035129999999999</v>
      </c>
      <c r="O77" s="32">
        <f t="shared" si="4"/>
        <v>1.0226998309587056</v>
      </c>
      <c r="P77" s="32">
        <f t="shared" si="5"/>
        <v>-2.5821085377444599</v>
      </c>
      <c r="Q77" s="32">
        <f t="shared" si="6"/>
        <v>0.26506292749090143</v>
      </c>
      <c r="R77" s="32">
        <f t="shared" si="7"/>
        <v>2.2446023540587532E-2</v>
      </c>
    </row>
    <row r="78" spans="1:18">
      <c r="A78">
        <v>20332</v>
      </c>
      <c r="B78" t="s">
        <v>15</v>
      </c>
      <c r="C78" s="32" t="s">
        <v>33</v>
      </c>
      <c r="D78" t="s">
        <v>9</v>
      </c>
      <c r="E78" t="s">
        <v>18</v>
      </c>
      <c r="F78">
        <v>5</v>
      </c>
      <c r="G78">
        <v>307</v>
      </c>
      <c r="H78">
        <v>3164</v>
      </c>
      <c r="I78">
        <v>4146</v>
      </c>
      <c r="J78" s="29">
        <v>0</v>
      </c>
      <c r="K78" s="29">
        <v>331</v>
      </c>
      <c r="L78">
        <v>50960.423999999999</v>
      </c>
      <c r="M78">
        <v>9.1386300000000004E-2</v>
      </c>
      <c r="N78">
        <v>1.3035129999999999</v>
      </c>
      <c r="O78" s="32">
        <f t="shared" si="4"/>
        <v>0.76314520019295706</v>
      </c>
      <c r="P78" s="32">
        <f t="shared" si="5"/>
        <v>-2.3926597023475598</v>
      </c>
      <c r="Q78" s="32">
        <f t="shared" si="6"/>
        <v>0.26506292749090143</v>
      </c>
      <c r="R78" s="32">
        <f t="shared" si="7"/>
        <v>-0.27030696410818039</v>
      </c>
    </row>
    <row r="79" spans="1:18">
      <c r="A79">
        <v>20332</v>
      </c>
      <c r="B79" t="s">
        <v>15</v>
      </c>
      <c r="C79" s="32" t="s">
        <v>33</v>
      </c>
      <c r="D79" t="s">
        <v>9</v>
      </c>
      <c r="E79" t="s">
        <v>18</v>
      </c>
      <c r="F79">
        <v>6</v>
      </c>
      <c r="G79">
        <v>280</v>
      </c>
      <c r="H79">
        <v>2999</v>
      </c>
      <c r="I79">
        <v>4154</v>
      </c>
      <c r="J79" s="29">
        <v>68</v>
      </c>
      <c r="K79" s="29">
        <v>99</v>
      </c>
      <c r="L79">
        <v>50960.423999999999</v>
      </c>
      <c r="M79">
        <v>8.7934799999999994E-2</v>
      </c>
      <c r="N79">
        <v>1.3035129999999999</v>
      </c>
      <c r="O79" s="32">
        <f t="shared" si="4"/>
        <v>0.72195474241694757</v>
      </c>
      <c r="P79" s="32">
        <f t="shared" si="5"/>
        <v>-2.4311596482036286</v>
      </c>
      <c r="Q79" s="32">
        <f t="shared" si="6"/>
        <v>0.26506292749090143</v>
      </c>
      <c r="R79" s="32">
        <f t="shared" si="7"/>
        <v>-0.32579282568704848</v>
      </c>
    </row>
    <row r="80" spans="1:18">
      <c r="A80">
        <v>20332</v>
      </c>
      <c r="B80" t="s">
        <v>15</v>
      </c>
      <c r="C80" s="32" t="s">
        <v>33</v>
      </c>
      <c r="D80" t="s">
        <v>9</v>
      </c>
      <c r="E80" t="s">
        <v>18</v>
      </c>
      <c r="F80">
        <v>7</v>
      </c>
      <c r="G80">
        <v>283</v>
      </c>
      <c r="H80">
        <v>3035</v>
      </c>
      <c r="I80">
        <v>4163</v>
      </c>
      <c r="J80" s="29">
        <v>253</v>
      </c>
      <c r="K80" s="29">
        <v>0</v>
      </c>
      <c r="L80">
        <v>50960.423999999999</v>
      </c>
      <c r="M80">
        <v>8.7822700000000004E-2</v>
      </c>
      <c r="N80">
        <v>1.3035129999999999</v>
      </c>
      <c r="O80" s="32">
        <f t="shared" si="4"/>
        <v>0.72904155656978142</v>
      </c>
      <c r="P80" s="32">
        <f t="shared" si="5"/>
        <v>-2.432435269616096</v>
      </c>
      <c r="Q80" s="32">
        <f t="shared" si="6"/>
        <v>0.26506292749090143</v>
      </c>
      <c r="R80" s="32">
        <f t="shared" si="7"/>
        <v>-0.31602454370137678</v>
      </c>
    </row>
    <row r="81" spans="1:18">
      <c r="A81">
        <v>20332</v>
      </c>
      <c r="B81" t="s">
        <v>15</v>
      </c>
      <c r="C81" s="32" t="s">
        <v>33</v>
      </c>
      <c r="D81" t="s">
        <v>9</v>
      </c>
      <c r="E81" t="s">
        <v>18</v>
      </c>
      <c r="F81">
        <v>8</v>
      </c>
      <c r="G81">
        <v>293</v>
      </c>
      <c r="H81">
        <v>3188</v>
      </c>
      <c r="I81">
        <v>4180</v>
      </c>
      <c r="J81" s="29">
        <v>156</v>
      </c>
      <c r="K81" s="29">
        <v>2</v>
      </c>
      <c r="L81">
        <v>50960.423999999999</v>
      </c>
      <c r="M81">
        <v>8.6562299999999995E-2</v>
      </c>
      <c r="N81">
        <v>1.3035129999999999</v>
      </c>
      <c r="O81" s="32">
        <f t="shared" si="4"/>
        <v>0.76267942583732062</v>
      </c>
      <c r="P81" s="32">
        <f t="shared" si="5"/>
        <v>-2.4468908930724629</v>
      </c>
      <c r="Q81" s="32">
        <f t="shared" si="6"/>
        <v>0.26506292749090143</v>
      </c>
      <c r="R81" s="32">
        <f t="shared" si="7"/>
        <v>-0.27091748560869627</v>
      </c>
    </row>
    <row r="82" spans="1:18">
      <c r="A82">
        <v>20332</v>
      </c>
      <c r="B82" t="s">
        <v>15</v>
      </c>
      <c r="C82" s="32" t="s">
        <v>33</v>
      </c>
      <c r="D82" t="s">
        <v>9</v>
      </c>
      <c r="E82" t="s">
        <v>18</v>
      </c>
      <c r="F82">
        <v>9</v>
      </c>
      <c r="G82">
        <v>294</v>
      </c>
      <c r="H82">
        <v>3181</v>
      </c>
      <c r="I82">
        <v>4182</v>
      </c>
      <c r="J82" s="29">
        <v>34</v>
      </c>
      <c r="K82" s="29">
        <v>242</v>
      </c>
      <c r="L82">
        <v>50960.423999999999</v>
      </c>
      <c r="M82">
        <v>8.7048799999999996E-2</v>
      </c>
      <c r="N82">
        <v>1.3035129999999999</v>
      </c>
      <c r="O82" s="32">
        <f t="shared" si="4"/>
        <v>0.76064084170253465</v>
      </c>
      <c r="P82" s="32">
        <f t="shared" si="5"/>
        <v>-2.4412863980438861</v>
      </c>
      <c r="Q82" s="32">
        <f t="shared" si="6"/>
        <v>0.26506292749090143</v>
      </c>
      <c r="R82" s="32">
        <f t="shared" si="7"/>
        <v>-0.27359398823943482</v>
      </c>
    </row>
    <row r="83" spans="1:18">
      <c r="A83">
        <v>20332</v>
      </c>
      <c r="B83" t="s">
        <v>15</v>
      </c>
      <c r="C83" s="32" t="s">
        <v>33</v>
      </c>
      <c r="D83" t="s">
        <v>9</v>
      </c>
      <c r="E83" t="s">
        <v>18</v>
      </c>
      <c r="F83">
        <v>10</v>
      </c>
      <c r="G83">
        <v>303</v>
      </c>
      <c r="H83">
        <v>3325</v>
      </c>
      <c r="I83">
        <v>4185</v>
      </c>
      <c r="J83" s="29">
        <v>0</v>
      </c>
      <c r="K83" s="29">
        <v>590</v>
      </c>
      <c r="L83">
        <v>50960.423999999999</v>
      </c>
      <c r="M83">
        <v>8.5828199999999993E-2</v>
      </c>
      <c r="N83">
        <v>1.3035129999999999</v>
      </c>
      <c r="O83" s="32">
        <f t="shared" si="4"/>
        <v>0.79450418160095582</v>
      </c>
      <c r="P83" s="32">
        <f t="shared" si="5"/>
        <v>-2.4554076551601383</v>
      </c>
      <c r="Q83" s="32">
        <f t="shared" si="6"/>
        <v>0.26506292749090143</v>
      </c>
      <c r="R83" s="32">
        <f t="shared" si="7"/>
        <v>-0.23003702983362115</v>
      </c>
    </row>
    <row r="84" spans="1:18">
      <c r="A84">
        <v>20332</v>
      </c>
      <c r="B84" t="s">
        <v>15</v>
      </c>
      <c r="C84" s="32" t="s">
        <v>33</v>
      </c>
      <c r="D84" t="s">
        <v>9</v>
      </c>
      <c r="E84" t="s">
        <v>18</v>
      </c>
      <c r="F84">
        <v>11</v>
      </c>
      <c r="G84">
        <v>328</v>
      </c>
      <c r="H84">
        <v>3660</v>
      </c>
      <c r="I84">
        <v>4192</v>
      </c>
      <c r="J84" s="29">
        <v>0</v>
      </c>
      <c r="K84" s="29">
        <v>776</v>
      </c>
      <c r="L84">
        <v>50960.423999999999</v>
      </c>
      <c r="M84">
        <v>8.44057E-2</v>
      </c>
      <c r="N84">
        <v>1.3035129999999999</v>
      </c>
      <c r="O84" s="32">
        <f t="shared" si="4"/>
        <v>0.87309160305343514</v>
      </c>
      <c r="P84" s="32">
        <f t="shared" si="5"/>
        <v>-2.4721203441156243</v>
      </c>
      <c r="Q84" s="32">
        <f t="shared" si="6"/>
        <v>0.26506292749090143</v>
      </c>
      <c r="R84" s="32">
        <f t="shared" si="7"/>
        <v>-0.13571479960546612</v>
      </c>
    </row>
    <row r="85" spans="1:18">
      <c r="A85">
        <v>20332</v>
      </c>
      <c r="B85" t="s">
        <v>15</v>
      </c>
      <c r="C85" s="32" t="s">
        <v>33</v>
      </c>
      <c r="D85" t="s">
        <v>9</v>
      </c>
      <c r="E85" t="s">
        <v>18</v>
      </c>
      <c r="F85">
        <v>12</v>
      </c>
      <c r="G85">
        <v>446</v>
      </c>
      <c r="H85">
        <v>5298</v>
      </c>
      <c r="I85">
        <v>4187</v>
      </c>
      <c r="J85" s="29">
        <v>0</v>
      </c>
      <c r="K85" s="29">
        <v>1266</v>
      </c>
      <c r="L85">
        <v>50960.423999999999</v>
      </c>
      <c r="M85">
        <v>7.9286999999999996E-2</v>
      </c>
      <c r="N85">
        <v>1.3035129999999999</v>
      </c>
      <c r="O85" s="32">
        <f t="shared" si="4"/>
        <v>1.2653451158347266</v>
      </c>
      <c r="P85" s="32">
        <f t="shared" si="5"/>
        <v>-2.5346810982062813</v>
      </c>
      <c r="Q85" s="32">
        <f t="shared" si="6"/>
        <v>0.26506292749090143</v>
      </c>
      <c r="R85" s="32">
        <f t="shared" si="7"/>
        <v>0.23534490381287176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5"/>
  <sheetViews>
    <sheetView workbookViewId="0">
      <selection activeCell="O12" sqref="O12"/>
    </sheetView>
  </sheetViews>
  <sheetFormatPr defaultRowHeight="12.75"/>
  <cols>
    <col min="3" max="3" width="9.140625" style="32"/>
  </cols>
  <sheetData>
    <row r="1" spans="1:18">
      <c r="A1" t="s">
        <v>16</v>
      </c>
      <c r="B1" t="s">
        <v>1</v>
      </c>
      <c r="C1" s="32" t="s">
        <v>26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8" t="s">
        <v>22</v>
      </c>
      <c r="K1" s="8" t="s">
        <v>23</v>
      </c>
      <c r="L1" s="32" t="s">
        <v>38</v>
      </c>
      <c r="M1" s="32" t="s">
        <v>24</v>
      </c>
      <c r="N1" s="32" t="s">
        <v>25</v>
      </c>
      <c r="O1" s="32" t="s">
        <v>37</v>
      </c>
      <c r="P1" s="32" t="s">
        <v>36</v>
      </c>
      <c r="Q1" s="32" t="s">
        <v>43</v>
      </c>
      <c r="R1" s="32" t="s">
        <v>44</v>
      </c>
    </row>
    <row r="2" spans="1:18">
      <c r="A2">
        <v>2008</v>
      </c>
      <c r="B2" t="s">
        <v>8</v>
      </c>
      <c r="C2" s="32" t="s">
        <v>27</v>
      </c>
      <c r="D2" t="s">
        <v>9</v>
      </c>
      <c r="E2">
        <v>2008</v>
      </c>
      <c r="F2">
        <v>1</v>
      </c>
      <c r="G2">
        <v>453.32100000000003</v>
      </c>
      <c r="H2">
        <v>8322</v>
      </c>
      <c r="I2">
        <v>6779</v>
      </c>
      <c r="J2" s="18">
        <v>0</v>
      </c>
      <c r="K2" s="18">
        <v>641</v>
      </c>
      <c r="L2">
        <v>51297.84</v>
      </c>
      <c r="M2">
        <v>4.9290500000000001E-2</v>
      </c>
      <c r="N2">
        <v>1.0270250000000001</v>
      </c>
      <c r="O2">
        <f>LN(M2)</f>
        <v>-3.0100239142708558</v>
      </c>
      <c r="P2">
        <f>LN(N2)</f>
        <v>2.6666273396003155E-2</v>
      </c>
      <c r="Q2">
        <f>H2/I2</f>
        <v>1.2276146924325122</v>
      </c>
      <c r="R2">
        <f>LN(Q2)</f>
        <v>0.205073012111921</v>
      </c>
    </row>
    <row r="3" spans="1:18">
      <c r="A3">
        <v>2008</v>
      </c>
      <c r="B3" t="s">
        <v>8</v>
      </c>
      <c r="C3" s="32" t="s">
        <v>27</v>
      </c>
      <c r="D3" t="s">
        <v>9</v>
      </c>
      <c r="E3">
        <v>2008</v>
      </c>
      <c r="F3">
        <v>2</v>
      </c>
      <c r="G3">
        <v>493</v>
      </c>
      <c r="H3">
        <v>9053</v>
      </c>
      <c r="I3">
        <v>6776</v>
      </c>
      <c r="J3" s="18">
        <v>0</v>
      </c>
      <c r="K3" s="18">
        <v>415</v>
      </c>
      <c r="L3">
        <v>51297.84</v>
      </c>
      <c r="M3">
        <v>4.9276399999999998E-2</v>
      </c>
      <c r="N3">
        <v>1.0270250000000001</v>
      </c>
      <c r="O3" s="32">
        <f t="shared" ref="O3:O66" si="0">LN(M3)</f>
        <v>-3.0103100143733483</v>
      </c>
      <c r="P3" s="32">
        <f t="shared" ref="P3:P66" si="1">LN(N3)</f>
        <v>2.6666273396003155E-2</v>
      </c>
      <c r="Q3" s="32">
        <f t="shared" ref="Q3:Q66" si="2">H3/I3</f>
        <v>1.3360389610389611</v>
      </c>
      <c r="R3" s="32">
        <f t="shared" ref="R3:R66" si="3">LN(Q3)</f>
        <v>0.28970923714355012</v>
      </c>
    </row>
    <row r="4" spans="1:18">
      <c r="A4">
        <v>2008</v>
      </c>
      <c r="B4" t="s">
        <v>8</v>
      </c>
      <c r="C4" s="32" t="s">
        <v>27</v>
      </c>
      <c r="D4" t="s">
        <v>9</v>
      </c>
      <c r="E4">
        <v>2008</v>
      </c>
      <c r="F4">
        <v>3</v>
      </c>
      <c r="G4">
        <v>376.72199999999998</v>
      </c>
      <c r="H4">
        <v>6889.51</v>
      </c>
      <c r="I4">
        <v>6762</v>
      </c>
      <c r="J4" s="18">
        <v>10</v>
      </c>
      <c r="K4" s="18">
        <v>193</v>
      </c>
      <c r="L4">
        <v>51297.84</v>
      </c>
      <c r="M4">
        <v>4.9478599999999998E-2</v>
      </c>
      <c r="N4">
        <v>1.0270250000000001</v>
      </c>
      <c r="O4" s="32">
        <f t="shared" si="0"/>
        <v>-3.0062150261184475</v>
      </c>
      <c r="P4" s="32">
        <f t="shared" si="1"/>
        <v>2.6666273396003155E-2</v>
      </c>
      <c r="Q4" s="32">
        <f t="shared" si="2"/>
        <v>1.0188568470866608</v>
      </c>
      <c r="R4" s="32">
        <f t="shared" si="3"/>
        <v>1.8681260649215707E-2</v>
      </c>
    </row>
    <row r="5" spans="1:18">
      <c r="A5">
        <v>2008</v>
      </c>
      <c r="B5" t="s">
        <v>8</v>
      </c>
      <c r="C5" s="32" t="s">
        <v>27</v>
      </c>
      <c r="D5" t="s">
        <v>9</v>
      </c>
      <c r="E5">
        <v>2008</v>
      </c>
      <c r="F5">
        <v>4</v>
      </c>
      <c r="G5">
        <v>308.72500000000002</v>
      </c>
      <c r="H5">
        <v>5599</v>
      </c>
      <c r="I5">
        <v>6806</v>
      </c>
      <c r="J5" s="18">
        <v>69</v>
      </c>
      <c r="K5" s="18">
        <v>40</v>
      </c>
      <c r="L5">
        <v>51297.84</v>
      </c>
      <c r="M5">
        <v>4.9893800000000002E-2</v>
      </c>
      <c r="N5">
        <v>1.0270250000000001</v>
      </c>
      <c r="O5" s="32">
        <f t="shared" si="0"/>
        <v>-2.9978585324411418</v>
      </c>
      <c r="P5" s="32">
        <f t="shared" si="1"/>
        <v>2.6666273396003155E-2</v>
      </c>
      <c r="Q5" s="32">
        <f t="shared" si="2"/>
        <v>0.82265647957684396</v>
      </c>
      <c r="R5" s="32">
        <f t="shared" si="3"/>
        <v>-0.19521656571195775</v>
      </c>
    </row>
    <row r="6" spans="1:18">
      <c r="A6">
        <v>2008</v>
      </c>
      <c r="B6" t="s">
        <v>8</v>
      </c>
      <c r="C6" s="32" t="s">
        <v>27</v>
      </c>
      <c r="D6" t="s">
        <v>9</v>
      </c>
      <c r="E6">
        <v>2008</v>
      </c>
      <c r="F6">
        <v>5</v>
      </c>
      <c r="G6">
        <v>299</v>
      </c>
      <c r="H6">
        <v>5395</v>
      </c>
      <c r="I6">
        <v>6739</v>
      </c>
      <c r="J6" s="18">
        <v>275</v>
      </c>
      <c r="K6" s="18">
        <v>23</v>
      </c>
      <c r="L6">
        <v>51297.84</v>
      </c>
      <c r="M6">
        <v>5.0149300000000001E-2</v>
      </c>
      <c r="N6">
        <v>1.0270250000000001</v>
      </c>
      <c r="O6" s="32">
        <f t="shared" si="0"/>
        <v>-2.992750722797231</v>
      </c>
      <c r="P6" s="32">
        <f t="shared" si="1"/>
        <v>2.6666273396003155E-2</v>
      </c>
      <c r="Q6" s="32">
        <f t="shared" si="2"/>
        <v>0.80056388188158478</v>
      </c>
      <c r="R6" s="32">
        <f t="shared" si="3"/>
        <v>-0.222438947253982</v>
      </c>
    </row>
    <row r="7" spans="1:18">
      <c r="A7">
        <v>2008</v>
      </c>
      <c r="B7" t="s">
        <v>8</v>
      </c>
      <c r="C7" s="32" t="s">
        <v>27</v>
      </c>
      <c r="D7" t="s">
        <v>9</v>
      </c>
      <c r="E7">
        <v>2008</v>
      </c>
      <c r="F7">
        <v>6</v>
      </c>
      <c r="G7">
        <v>407.11599999999999</v>
      </c>
      <c r="H7">
        <v>7505.84</v>
      </c>
      <c r="I7">
        <v>6705</v>
      </c>
      <c r="J7" s="18">
        <v>665</v>
      </c>
      <c r="K7" s="18">
        <v>0</v>
      </c>
      <c r="L7">
        <v>51297.84</v>
      </c>
      <c r="M7">
        <v>4.9079900000000003E-2</v>
      </c>
      <c r="N7">
        <v>1.0270250000000001</v>
      </c>
      <c r="O7" s="32">
        <f t="shared" si="0"/>
        <v>-3.0143056966313146</v>
      </c>
      <c r="P7" s="32">
        <f t="shared" si="1"/>
        <v>2.6666273396003155E-2</v>
      </c>
      <c r="Q7" s="32">
        <f t="shared" si="2"/>
        <v>1.1194392244593587</v>
      </c>
      <c r="R7" s="32">
        <f t="shared" si="3"/>
        <v>0.11282786747168307</v>
      </c>
    </row>
    <row r="8" spans="1:18">
      <c r="A8">
        <v>2008</v>
      </c>
      <c r="B8" t="s">
        <v>8</v>
      </c>
      <c r="C8" s="32" t="s">
        <v>27</v>
      </c>
      <c r="D8" t="s">
        <v>9</v>
      </c>
      <c r="E8">
        <v>2008</v>
      </c>
      <c r="F8">
        <v>7</v>
      </c>
      <c r="G8">
        <v>662.22299999999996</v>
      </c>
      <c r="H8">
        <v>12104.6</v>
      </c>
      <c r="I8">
        <v>6865</v>
      </c>
      <c r="J8" s="18">
        <v>856</v>
      </c>
      <c r="K8" s="18">
        <v>0</v>
      </c>
      <c r="L8">
        <v>51297.84</v>
      </c>
      <c r="M8">
        <v>4.9503800000000001E-2</v>
      </c>
      <c r="N8">
        <v>1.0270250000000001</v>
      </c>
      <c r="O8" s="32">
        <f t="shared" si="0"/>
        <v>-3.005705844677212</v>
      </c>
      <c r="P8" s="32">
        <f t="shared" si="1"/>
        <v>2.6666273396003155E-2</v>
      </c>
      <c r="Q8" s="32">
        <f t="shared" si="2"/>
        <v>1.7632337946103425</v>
      </c>
      <c r="R8" s="32">
        <f t="shared" si="3"/>
        <v>0.56714950642750306</v>
      </c>
    </row>
    <row r="9" spans="1:18">
      <c r="A9">
        <v>2008</v>
      </c>
      <c r="B9" t="s">
        <v>8</v>
      </c>
      <c r="C9" s="32" t="s">
        <v>27</v>
      </c>
      <c r="D9" t="s">
        <v>9</v>
      </c>
      <c r="E9">
        <v>2008</v>
      </c>
      <c r="F9">
        <v>8</v>
      </c>
      <c r="G9">
        <v>711.38599999999997</v>
      </c>
      <c r="H9">
        <v>12977.8</v>
      </c>
      <c r="I9">
        <v>6730</v>
      </c>
      <c r="J9" s="18">
        <v>834</v>
      </c>
      <c r="K9" s="18">
        <v>0</v>
      </c>
      <c r="L9">
        <v>51297.84</v>
      </c>
      <c r="M9">
        <v>4.9600900000000003E-2</v>
      </c>
      <c r="N9">
        <v>1.0270250000000001</v>
      </c>
      <c r="O9" s="32">
        <f t="shared" si="0"/>
        <v>-3.0037463002545861</v>
      </c>
      <c r="P9" s="32">
        <f t="shared" si="1"/>
        <v>2.6666273396003155E-2</v>
      </c>
      <c r="Q9" s="32">
        <f t="shared" si="2"/>
        <v>1.9283506686478453</v>
      </c>
      <c r="R9" s="32">
        <f t="shared" si="3"/>
        <v>0.65666506172857186</v>
      </c>
    </row>
    <row r="10" spans="1:18">
      <c r="A10">
        <v>2008</v>
      </c>
      <c r="B10" t="s">
        <v>8</v>
      </c>
      <c r="C10" s="32" t="s">
        <v>27</v>
      </c>
      <c r="D10" t="s">
        <v>9</v>
      </c>
      <c r="E10">
        <v>2008</v>
      </c>
      <c r="F10">
        <v>9</v>
      </c>
      <c r="G10">
        <v>850.07100000000003</v>
      </c>
      <c r="H10">
        <v>15517.7</v>
      </c>
      <c r="I10">
        <v>6842</v>
      </c>
      <c r="J10" s="18">
        <v>535</v>
      </c>
      <c r="K10" s="18">
        <v>0</v>
      </c>
      <c r="L10">
        <v>51297.84</v>
      </c>
      <c r="M10">
        <v>4.9569299999999997E-2</v>
      </c>
      <c r="N10">
        <v>1.0270250000000001</v>
      </c>
      <c r="O10" s="32">
        <f t="shared" si="0"/>
        <v>-3.0043835884937851</v>
      </c>
      <c r="P10" s="32">
        <f t="shared" si="1"/>
        <v>2.6666273396003155E-2</v>
      </c>
      <c r="Q10" s="32">
        <f t="shared" si="2"/>
        <v>2.2680064308681671</v>
      </c>
      <c r="R10" s="32">
        <f t="shared" si="3"/>
        <v>0.81890122134127719</v>
      </c>
    </row>
    <row r="11" spans="1:18">
      <c r="A11">
        <v>2008</v>
      </c>
      <c r="B11" t="s">
        <v>8</v>
      </c>
      <c r="C11" s="32" t="s">
        <v>27</v>
      </c>
      <c r="D11" t="s">
        <v>9</v>
      </c>
      <c r="E11">
        <v>2008</v>
      </c>
      <c r="F11">
        <v>10</v>
      </c>
      <c r="G11">
        <v>539.93799999999999</v>
      </c>
      <c r="H11">
        <v>9990.33</v>
      </c>
      <c r="I11">
        <v>6740</v>
      </c>
      <c r="J11" s="18">
        <v>174</v>
      </c>
      <c r="K11" s="18">
        <v>41</v>
      </c>
      <c r="L11">
        <v>51297.84</v>
      </c>
      <c r="M11">
        <v>4.8904499999999997E-2</v>
      </c>
      <c r="N11">
        <v>1.0270250000000001</v>
      </c>
      <c r="O11" s="32">
        <f t="shared" si="0"/>
        <v>-3.0178858621954316</v>
      </c>
      <c r="P11" s="32">
        <f t="shared" si="1"/>
        <v>2.6666273396003155E-2</v>
      </c>
      <c r="Q11" s="32">
        <f t="shared" si="2"/>
        <v>1.4822448071216616</v>
      </c>
      <c r="R11" s="32">
        <f t="shared" si="3"/>
        <v>0.39355770022370085</v>
      </c>
    </row>
    <row r="12" spans="1:18">
      <c r="A12">
        <v>2008</v>
      </c>
      <c r="B12" t="s">
        <v>8</v>
      </c>
      <c r="C12" s="32" t="s">
        <v>27</v>
      </c>
      <c r="D12" t="s">
        <v>9</v>
      </c>
      <c r="E12">
        <v>2008</v>
      </c>
      <c r="F12">
        <v>11</v>
      </c>
      <c r="G12">
        <v>373.64400000000001</v>
      </c>
      <c r="H12">
        <v>6871.43</v>
      </c>
      <c r="I12">
        <v>6794</v>
      </c>
      <c r="J12" s="18">
        <v>7</v>
      </c>
      <c r="K12" s="18">
        <v>184</v>
      </c>
      <c r="L12">
        <v>51297.84</v>
      </c>
      <c r="M12">
        <v>4.9203499999999997E-2</v>
      </c>
      <c r="N12">
        <v>1.0270250000000001</v>
      </c>
      <c r="O12" s="32">
        <f t="shared" si="0"/>
        <v>-3.0117905198026951</v>
      </c>
      <c r="P12" s="32">
        <f t="shared" si="1"/>
        <v>2.6666273396003155E-2</v>
      </c>
      <c r="Q12" s="32">
        <f t="shared" si="2"/>
        <v>1.0113968207241684</v>
      </c>
      <c r="R12" s="32">
        <f t="shared" si="3"/>
        <v>1.1332366218196287E-2</v>
      </c>
    </row>
    <row r="13" spans="1:18">
      <c r="A13">
        <v>2008</v>
      </c>
      <c r="B13" t="s">
        <v>8</v>
      </c>
      <c r="C13" s="32" t="s">
        <v>27</v>
      </c>
      <c r="D13" t="s">
        <v>9</v>
      </c>
      <c r="E13">
        <v>2008</v>
      </c>
      <c r="F13">
        <v>12</v>
      </c>
      <c r="G13">
        <v>301.64499999999998</v>
      </c>
      <c r="H13">
        <v>5454.36</v>
      </c>
      <c r="I13">
        <v>6767</v>
      </c>
      <c r="J13" s="18">
        <v>0</v>
      </c>
      <c r="K13" s="18">
        <v>634</v>
      </c>
      <c r="L13">
        <v>51297.84</v>
      </c>
      <c r="M13">
        <v>5.0042299999999998E-2</v>
      </c>
      <c r="N13">
        <v>1.0270250000000001</v>
      </c>
      <c r="O13" s="32">
        <f t="shared" si="0"/>
        <v>-2.9948866312102873</v>
      </c>
      <c r="P13" s="32">
        <f t="shared" si="1"/>
        <v>2.6666273396003155E-2</v>
      </c>
      <c r="Q13" s="32">
        <f t="shared" si="2"/>
        <v>0.80602334860351699</v>
      </c>
      <c r="R13" s="32">
        <f t="shared" si="3"/>
        <v>-0.21564256840437152</v>
      </c>
    </row>
    <row r="14" spans="1:18">
      <c r="A14">
        <v>13073</v>
      </c>
      <c r="B14" t="s">
        <v>10</v>
      </c>
      <c r="C14" s="32" t="s">
        <v>28</v>
      </c>
      <c r="D14" t="s">
        <v>9</v>
      </c>
      <c r="E14">
        <v>2008</v>
      </c>
      <c r="F14">
        <v>1</v>
      </c>
      <c r="G14">
        <v>556.07000000000005</v>
      </c>
      <c r="H14">
        <v>8879.7199999999993</v>
      </c>
      <c r="I14">
        <v>4882</v>
      </c>
      <c r="J14" s="11">
        <v>0</v>
      </c>
      <c r="K14" s="11">
        <v>1418</v>
      </c>
      <c r="L14">
        <v>44527.62</v>
      </c>
      <c r="M14">
        <v>5.6665E-2</v>
      </c>
      <c r="N14">
        <v>1.2251909999999999</v>
      </c>
      <c r="O14" s="32">
        <f t="shared" si="0"/>
        <v>-2.8705985427972252</v>
      </c>
      <c r="P14" s="32">
        <f t="shared" si="1"/>
        <v>0.20309675021003187</v>
      </c>
      <c r="Q14" s="32">
        <f t="shared" si="2"/>
        <v>1.818869315854158</v>
      </c>
      <c r="R14" s="32">
        <f t="shared" si="3"/>
        <v>0.59821505300464961</v>
      </c>
    </row>
    <row r="15" spans="1:18">
      <c r="A15">
        <v>13073</v>
      </c>
      <c r="B15" t="s">
        <v>10</v>
      </c>
      <c r="C15" s="32" t="s">
        <v>28</v>
      </c>
      <c r="D15" t="s">
        <v>9</v>
      </c>
      <c r="E15">
        <v>2008</v>
      </c>
      <c r="F15">
        <v>2</v>
      </c>
      <c r="G15">
        <v>580.80999999999995</v>
      </c>
      <c r="H15">
        <v>9393.31</v>
      </c>
      <c r="I15">
        <v>4892</v>
      </c>
      <c r="J15" s="11">
        <v>0</v>
      </c>
      <c r="K15" s="11">
        <v>1090</v>
      </c>
      <c r="L15">
        <v>44527.62</v>
      </c>
      <c r="M15">
        <v>5.595E-2</v>
      </c>
      <c r="N15">
        <v>1.2251909999999999</v>
      </c>
      <c r="O15" s="32">
        <f t="shared" si="0"/>
        <v>-2.8832968442242026</v>
      </c>
      <c r="P15" s="32">
        <f t="shared" si="1"/>
        <v>0.20309675021003187</v>
      </c>
      <c r="Q15" s="32">
        <f t="shared" si="2"/>
        <v>1.920136958299264</v>
      </c>
      <c r="R15" s="32">
        <f t="shared" si="3"/>
        <v>0.65239651594318548</v>
      </c>
    </row>
    <row r="16" spans="1:18">
      <c r="A16">
        <v>13073</v>
      </c>
      <c r="B16" t="s">
        <v>10</v>
      </c>
      <c r="C16" s="32" t="s">
        <v>28</v>
      </c>
      <c r="D16" t="s">
        <v>9</v>
      </c>
      <c r="E16">
        <v>2008</v>
      </c>
      <c r="F16">
        <v>3</v>
      </c>
      <c r="G16">
        <v>467.69</v>
      </c>
      <c r="H16">
        <v>7057.81</v>
      </c>
      <c r="I16">
        <v>4897</v>
      </c>
      <c r="J16" s="11">
        <v>0</v>
      </c>
      <c r="K16" s="11">
        <v>936</v>
      </c>
      <c r="L16">
        <v>44527.62</v>
      </c>
      <c r="M16">
        <v>5.9961599999999997E-2</v>
      </c>
      <c r="N16">
        <v>1.2251909999999999</v>
      </c>
      <c r="O16" s="32">
        <f t="shared" si="0"/>
        <v>-2.8140509216474596</v>
      </c>
      <c r="P16" s="32">
        <f t="shared" si="1"/>
        <v>0.20309675021003187</v>
      </c>
      <c r="Q16" s="32">
        <f t="shared" si="2"/>
        <v>1.4412517868082499</v>
      </c>
      <c r="R16" s="32">
        <f t="shared" si="3"/>
        <v>0.36551203236324264</v>
      </c>
    </row>
    <row r="17" spans="1:18">
      <c r="A17">
        <v>13073</v>
      </c>
      <c r="B17" t="s">
        <v>10</v>
      </c>
      <c r="C17" s="32" t="s">
        <v>28</v>
      </c>
      <c r="D17" t="s">
        <v>9</v>
      </c>
      <c r="E17">
        <v>2008</v>
      </c>
      <c r="F17">
        <v>4</v>
      </c>
      <c r="G17">
        <v>437.71</v>
      </c>
      <c r="H17">
        <v>6415.77</v>
      </c>
      <c r="I17">
        <v>4904</v>
      </c>
      <c r="J17" s="11">
        <v>0</v>
      </c>
      <c r="K17" s="11">
        <v>751</v>
      </c>
      <c r="L17">
        <v>44527.62</v>
      </c>
      <c r="M17">
        <v>6.1733799999999998E-2</v>
      </c>
      <c r="N17">
        <v>1.2251909999999999</v>
      </c>
      <c r="O17" s="32">
        <f t="shared" si="0"/>
        <v>-2.7849236860714917</v>
      </c>
      <c r="P17" s="32">
        <f t="shared" si="1"/>
        <v>0.20309675021003187</v>
      </c>
      <c r="Q17" s="32">
        <f t="shared" si="2"/>
        <v>1.3082728384991844</v>
      </c>
      <c r="R17" s="32">
        <f t="shared" si="3"/>
        <v>0.26870782340745331</v>
      </c>
    </row>
    <row r="18" spans="1:18">
      <c r="A18">
        <v>13073</v>
      </c>
      <c r="B18" t="s">
        <v>10</v>
      </c>
      <c r="C18" s="32" t="s">
        <v>28</v>
      </c>
      <c r="D18" t="s">
        <v>9</v>
      </c>
      <c r="E18">
        <v>2008</v>
      </c>
      <c r="F18">
        <v>5</v>
      </c>
      <c r="G18">
        <v>373.14699999999999</v>
      </c>
      <c r="H18">
        <v>5122.26</v>
      </c>
      <c r="I18">
        <v>4896</v>
      </c>
      <c r="J18" s="11">
        <v>4</v>
      </c>
      <c r="K18" s="11">
        <v>520</v>
      </c>
      <c r="L18">
        <v>44527.62</v>
      </c>
      <c r="M18">
        <v>6.5917900000000001E-2</v>
      </c>
      <c r="N18">
        <v>1.2251909999999999</v>
      </c>
      <c r="O18" s="32">
        <f t="shared" si="0"/>
        <v>-2.719345250684476</v>
      </c>
      <c r="P18" s="32">
        <f t="shared" si="1"/>
        <v>0.20309675021003187</v>
      </c>
      <c r="Q18" s="32">
        <f t="shared" si="2"/>
        <v>1.0462132352941176</v>
      </c>
      <c r="R18" s="32">
        <f t="shared" si="3"/>
        <v>4.5177202700310927E-2</v>
      </c>
    </row>
    <row r="19" spans="1:18">
      <c r="A19">
        <v>13073</v>
      </c>
      <c r="B19" t="s">
        <v>10</v>
      </c>
      <c r="C19" s="32" t="s">
        <v>28</v>
      </c>
      <c r="D19" t="s">
        <v>9</v>
      </c>
      <c r="E19">
        <v>2008</v>
      </c>
      <c r="F19">
        <v>6</v>
      </c>
      <c r="G19">
        <v>329.471</v>
      </c>
      <c r="H19">
        <v>4237.63</v>
      </c>
      <c r="I19">
        <v>4902</v>
      </c>
      <c r="J19" s="11">
        <v>24</v>
      </c>
      <c r="K19" s="11">
        <v>174</v>
      </c>
      <c r="L19">
        <v>44527.62</v>
      </c>
      <c r="M19">
        <v>7.0352399999999995E-2</v>
      </c>
      <c r="N19">
        <v>1.2251909999999999</v>
      </c>
      <c r="O19" s="32">
        <f t="shared" si="0"/>
        <v>-2.6542383808650545</v>
      </c>
      <c r="P19" s="32">
        <f t="shared" si="1"/>
        <v>0.20309675021003187</v>
      </c>
      <c r="Q19" s="32">
        <f t="shared" si="2"/>
        <v>0.8644696042431661</v>
      </c>
      <c r="R19" s="32">
        <f t="shared" si="3"/>
        <v>-0.14563913440384996</v>
      </c>
    </row>
    <row r="20" spans="1:18">
      <c r="A20">
        <v>13073</v>
      </c>
      <c r="B20" t="s">
        <v>10</v>
      </c>
      <c r="C20" s="32" t="s">
        <v>28</v>
      </c>
      <c r="D20" t="s">
        <v>9</v>
      </c>
      <c r="E20">
        <v>2008</v>
      </c>
      <c r="F20">
        <v>7</v>
      </c>
      <c r="G20">
        <v>290.67200000000003</v>
      </c>
      <c r="H20">
        <v>3506.71</v>
      </c>
      <c r="I20">
        <v>4928</v>
      </c>
      <c r="J20" s="11">
        <v>142</v>
      </c>
      <c r="K20" s="11">
        <v>0</v>
      </c>
      <c r="L20">
        <v>44527.62</v>
      </c>
      <c r="M20">
        <v>7.5004699999999994E-2</v>
      </c>
      <c r="N20">
        <v>1.2251909999999999</v>
      </c>
      <c r="O20" s="32">
        <f t="shared" si="0"/>
        <v>-2.5902045007426335</v>
      </c>
      <c r="P20" s="32">
        <f t="shared" si="1"/>
        <v>0.20309675021003187</v>
      </c>
      <c r="Q20" s="32">
        <f t="shared" si="2"/>
        <v>0.71158887987012986</v>
      </c>
      <c r="R20" s="32">
        <f t="shared" si="3"/>
        <v>-0.34025495025166808</v>
      </c>
    </row>
    <row r="21" spans="1:18">
      <c r="A21">
        <v>13073</v>
      </c>
      <c r="B21" t="s">
        <v>10</v>
      </c>
      <c r="C21" s="32" t="s">
        <v>28</v>
      </c>
      <c r="D21" t="s">
        <v>9</v>
      </c>
      <c r="E21">
        <v>2008</v>
      </c>
      <c r="F21">
        <v>8</v>
      </c>
      <c r="G21">
        <v>285.63799999999998</v>
      </c>
      <c r="H21">
        <v>3399.23</v>
      </c>
      <c r="I21">
        <v>4941</v>
      </c>
      <c r="J21" s="11">
        <v>98</v>
      </c>
      <c r="K21" s="11">
        <v>5</v>
      </c>
      <c r="L21">
        <v>44527.62</v>
      </c>
      <c r="M21">
        <v>7.6036199999999998E-2</v>
      </c>
      <c r="N21">
        <v>1.2251909999999999</v>
      </c>
      <c r="O21" s="32">
        <f t="shared" si="0"/>
        <v>-2.576545736308689</v>
      </c>
      <c r="P21" s="32">
        <f t="shared" si="1"/>
        <v>0.20309675021003187</v>
      </c>
      <c r="Q21" s="32">
        <f t="shared" si="2"/>
        <v>0.68796397490386563</v>
      </c>
      <c r="R21" s="32">
        <f t="shared" si="3"/>
        <v>-0.37401880447806868</v>
      </c>
    </row>
    <row r="22" spans="1:18">
      <c r="A22">
        <v>13073</v>
      </c>
      <c r="B22" t="s">
        <v>10</v>
      </c>
      <c r="C22" s="32" t="s">
        <v>28</v>
      </c>
      <c r="D22" t="s">
        <v>9</v>
      </c>
      <c r="E22">
        <v>2008</v>
      </c>
      <c r="F22">
        <v>9</v>
      </c>
      <c r="G22">
        <v>282.95400000000001</v>
      </c>
      <c r="H22">
        <v>3350.57</v>
      </c>
      <c r="I22">
        <v>4950</v>
      </c>
      <c r="J22" s="11">
        <v>0</v>
      </c>
      <c r="K22" s="11">
        <v>236</v>
      </c>
      <c r="L22">
        <v>44527.62</v>
      </c>
      <c r="M22">
        <v>7.64156E-2</v>
      </c>
      <c r="N22">
        <v>1.2251909999999999</v>
      </c>
      <c r="O22" s="32">
        <f t="shared" si="0"/>
        <v>-2.5715684151716176</v>
      </c>
      <c r="P22" s="32">
        <f t="shared" si="1"/>
        <v>0.20309675021003187</v>
      </c>
      <c r="Q22" s="32">
        <f t="shared" si="2"/>
        <v>0.67688282828282831</v>
      </c>
      <c r="R22" s="32">
        <f t="shared" si="3"/>
        <v>-0.390257095963635</v>
      </c>
    </row>
    <row r="23" spans="1:18">
      <c r="A23">
        <v>13073</v>
      </c>
      <c r="B23" t="s">
        <v>10</v>
      </c>
      <c r="C23" s="32" t="s">
        <v>28</v>
      </c>
      <c r="D23" t="s">
        <v>9</v>
      </c>
      <c r="E23">
        <v>2008</v>
      </c>
      <c r="F23">
        <v>10</v>
      </c>
      <c r="G23">
        <v>297.36</v>
      </c>
      <c r="H23">
        <v>3614.18</v>
      </c>
      <c r="I23">
        <v>4961</v>
      </c>
      <c r="J23" s="11">
        <v>0</v>
      </c>
      <c r="K23" s="11">
        <v>584</v>
      </c>
      <c r="L23">
        <v>44527.62</v>
      </c>
      <c r="M23">
        <v>7.4448799999999996E-2</v>
      </c>
      <c r="N23">
        <v>1.2251909999999999</v>
      </c>
      <c r="O23" s="32">
        <f t="shared" si="0"/>
        <v>-2.597643638182153</v>
      </c>
      <c r="P23" s="32">
        <f t="shared" si="1"/>
        <v>0.20309675021003187</v>
      </c>
      <c r="Q23" s="32">
        <f t="shared" si="2"/>
        <v>0.7285184438621245</v>
      </c>
      <c r="R23" s="32">
        <f t="shared" si="3"/>
        <v>-0.31674233608036911</v>
      </c>
    </row>
    <row r="24" spans="1:18">
      <c r="A24">
        <v>13073</v>
      </c>
      <c r="B24" t="s">
        <v>10</v>
      </c>
      <c r="C24" s="32" t="s">
        <v>28</v>
      </c>
      <c r="D24" t="s">
        <v>9</v>
      </c>
      <c r="E24">
        <v>2008</v>
      </c>
      <c r="F24">
        <v>11</v>
      </c>
      <c r="G24">
        <v>381.89</v>
      </c>
      <c r="H24">
        <v>5213.2700000000004</v>
      </c>
      <c r="I24">
        <v>4976</v>
      </c>
      <c r="J24" s="11">
        <v>0</v>
      </c>
      <c r="K24" s="11">
        <v>754</v>
      </c>
      <c r="L24">
        <v>44527.62</v>
      </c>
      <c r="M24">
        <v>6.6284700000000002E-2</v>
      </c>
      <c r="N24">
        <v>1.2251909999999999</v>
      </c>
      <c r="O24" s="32">
        <f t="shared" si="0"/>
        <v>-2.7137961776524056</v>
      </c>
      <c r="P24" s="32">
        <f t="shared" si="1"/>
        <v>0.20309675021003187</v>
      </c>
      <c r="Q24" s="32">
        <f t="shared" si="2"/>
        <v>1.047682877813505</v>
      </c>
      <c r="R24" s="32">
        <f t="shared" si="3"/>
        <v>4.658094260078962E-2</v>
      </c>
    </row>
    <row r="25" spans="1:18">
      <c r="A25">
        <v>13073</v>
      </c>
      <c r="B25" t="s">
        <v>10</v>
      </c>
      <c r="C25" s="32" t="s">
        <v>28</v>
      </c>
      <c r="D25" t="s">
        <v>9</v>
      </c>
      <c r="E25">
        <v>2008</v>
      </c>
      <c r="F25">
        <v>12</v>
      </c>
      <c r="G25">
        <v>462.29899999999998</v>
      </c>
      <c r="H25">
        <v>6839.98</v>
      </c>
      <c r="I25">
        <v>4982</v>
      </c>
      <c r="J25" s="11">
        <v>0</v>
      </c>
      <c r="K25" s="11">
        <v>1245</v>
      </c>
      <c r="L25">
        <v>44527.62</v>
      </c>
      <c r="M25">
        <v>6.1157999999999997E-2</v>
      </c>
      <c r="N25">
        <v>1.2251909999999999</v>
      </c>
      <c r="O25" s="32">
        <f t="shared" si="0"/>
        <v>-2.7942945995678063</v>
      </c>
      <c r="P25" s="32">
        <f t="shared" si="1"/>
        <v>0.20309675021003187</v>
      </c>
      <c r="Q25" s="32">
        <f t="shared" si="2"/>
        <v>1.3729385788839823</v>
      </c>
      <c r="R25" s="32">
        <f t="shared" si="3"/>
        <v>0.31695339081358737</v>
      </c>
    </row>
    <row r="26" spans="1:18">
      <c r="A26">
        <v>13407</v>
      </c>
      <c r="B26" t="s">
        <v>11</v>
      </c>
      <c r="C26" s="32" t="s">
        <v>29</v>
      </c>
      <c r="D26" t="s">
        <v>9</v>
      </c>
      <c r="E26">
        <v>2008</v>
      </c>
      <c r="F26">
        <v>1</v>
      </c>
      <c r="G26" s="32">
        <v>81597</v>
      </c>
      <c r="H26" s="32">
        <v>669276</v>
      </c>
      <c r="I26" s="32">
        <v>723055</v>
      </c>
      <c r="J26" s="16">
        <v>0</v>
      </c>
      <c r="K26" s="16">
        <v>578</v>
      </c>
      <c r="L26">
        <v>48045.756000000001</v>
      </c>
      <c r="M26">
        <v>0.1103199</v>
      </c>
      <c r="N26">
        <v>1.0270250000000001</v>
      </c>
      <c r="O26" s="32">
        <f t="shared" si="0"/>
        <v>-2.2043709519514536</v>
      </c>
      <c r="P26" s="32">
        <f t="shared" si="1"/>
        <v>2.6666273396003155E-2</v>
      </c>
      <c r="Q26" s="32">
        <f t="shared" si="2"/>
        <v>0.925622532172518</v>
      </c>
      <c r="R26" s="32">
        <f t="shared" si="3"/>
        <v>-7.728876008379755E-2</v>
      </c>
    </row>
    <row r="27" spans="1:18">
      <c r="A27">
        <v>13407</v>
      </c>
      <c r="B27" t="s">
        <v>11</v>
      </c>
      <c r="C27" s="32" t="s">
        <v>29</v>
      </c>
      <c r="D27" t="s">
        <v>9</v>
      </c>
      <c r="E27">
        <v>2008</v>
      </c>
      <c r="F27">
        <v>2</v>
      </c>
      <c r="G27" s="32">
        <v>64589</v>
      </c>
      <c r="H27" s="32">
        <v>522062</v>
      </c>
      <c r="I27" s="32">
        <v>722100</v>
      </c>
      <c r="J27" s="16">
        <v>0</v>
      </c>
      <c r="K27" s="16">
        <v>358</v>
      </c>
      <c r="L27">
        <v>48045.756000000001</v>
      </c>
      <c r="M27">
        <v>0.1119493</v>
      </c>
      <c r="N27">
        <v>1.0270250000000001</v>
      </c>
      <c r="O27" s="32">
        <f t="shared" si="0"/>
        <v>-2.1897091887483469</v>
      </c>
      <c r="P27" s="32">
        <f t="shared" si="1"/>
        <v>2.6666273396003155E-2</v>
      </c>
      <c r="Q27" s="32">
        <f t="shared" si="2"/>
        <v>0.72297742694917599</v>
      </c>
      <c r="R27" s="32">
        <f t="shared" si="3"/>
        <v>-0.32437727868120381</v>
      </c>
    </row>
    <row r="28" spans="1:18">
      <c r="A28">
        <v>13407</v>
      </c>
      <c r="B28" t="s">
        <v>11</v>
      </c>
      <c r="C28" s="32" t="s">
        <v>29</v>
      </c>
      <c r="D28" t="s">
        <v>9</v>
      </c>
      <c r="E28">
        <v>2008</v>
      </c>
      <c r="F28">
        <v>3</v>
      </c>
      <c r="G28" s="32">
        <v>59192</v>
      </c>
      <c r="H28" s="32">
        <v>460816</v>
      </c>
      <c r="I28" s="32">
        <v>722875</v>
      </c>
      <c r="J28" s="16">
        <v>25</v>
      </c>
      <c r="K28" s="16">
        <v>135</v>
      </c>
      <c r="L28">
        <v>48045.756000000001</v>
      </c>
      <c r="M28">
        <v>0.1162306</v>
      </c>
      <c r="N28">
        <v>1.0270250000000001</v>
      </c>
      <c r="O28" s="32">
        <f t="shared" si="0"/>
        <v>-2.1521791301614051</v>
      </c>
      <c r="P28" s="32">
        <f t="shared" si="1"/>
        <v>2.6666273396003155E-2</v>
      </c>
      <c r="Q28" s="32">
        <f t="shared" si="2"/>
        <v>0.63747674217534156</v>
      </c>
      <c r="R28" s="32">
        <f t="shared" si="3"/>
        <v>-0.45023748547728099</v>
      </c>
    </row>
    <row r="29" spans="1:18">
      <c r="A29">
        <v>13407</v>
      </c>
      <c r="B29" t="s">
        <v>11</v>
      </c>
      <c r="C29" s="32" t="s">
        <v>29</v>
      </c>
      <c r="D29" t="s">
        <v>9</v>
      </c>
      <c r="E29">
        <v>2008</v>
      </c>
      <c r="F29">
        <v>4</v>
      </c>
      <c r="G29" s="32">
        <v>53658</v>
      </c>
      <c r="H29" s="32">
        <v>420665</v>
      </c>
      <c r="I29" s="32">
        <v>721233</v>
      </c>
      <c r="J29" s="16">
        <v>106</v>
      </c>
      <c r="K29" s="16">
        <v>21</v>
      </c>
      <c r="L29">
        <v>48045.756000000001</v>
      </c>
      <c r="M29">
        <v>0.1154205</v>
      </c>
      <c r="N29">
        <v>1.0270250000000001</v>
      </c>
      <c r="O29" s="32">
        <f t="shared" si="0"/>
        <v>-2.1591732977038478</v>
      </c>
      <c r="P29" s="32">
        <f t="shared" si="1"/>
        <v>2.6666273396003155E-2</v>
      </c>
      <c r="Q29" s="32">
        <f t="shared" si="2"/>
        <v>0.58325811492263946</v>
      </c>
      <c r="R29" s="32">
        <f t="shared" si="3"/>
        <v>-0.53912545489382124</v>
      </c>
    </row>
    <row r="30" spans="1:18">
      <c r="A30">
        <v>13407</v>
      </c>
      <c r="B30" t="s">
        <v>11</v>
      </c>
      <c r="C30" s="32" t="s">
        <v>29</v>
      </c>
      <c r="D30" t="s">
        <v>9</v>
      </c>
      <c r="E30">
        <v>2008</v>
      </c>
      <c r="F30">
        <v>5</v>
      </c>
      <c r="G30" s="32">
        <v>74681</v>
      </c>
      <c r="H30" s="32">
        <v>602599</v>
      </c>
      <c r="I30" s="32">
        <v>724801</v>
      </c>
      <c r="J30" s="16">
        <v>316</v>
      </c>
      <c r="K30" s="16">
        <v>17</v>
      </c>
      <c r="L30">
        <v>48045.756000000001</v>
      </c>
      <c r="M30">
        <v>0.11214159999999999</v>
      </c>
      <c r="N30">
        <v>1.0270250000000001</v>
      </c>
      <c r="O30" s="32">
        <f t="shared" si="0"/>
        <v>-2.1879929205089597</v>
      </c>
      <c r="P30" s="32">
        <f t="shared" si="1"/>
        <v>2.6666273396003155E-2</v>
      </c>
      <c r="Q30" s="32">
        <f t="shared" si="2"/>
        <v>0.83139923923946024</v>
      </c>
      <c r="R30" s="32">
        <f t="shared" si="3"/>
        <v>-0.18464516719954877</v>
      </c>
    </row>
    <row r="31" spans="1:18">
      <c r="A31">
        <v>13407</v>
      </c>
      <c r="B31" t="s">
        <v>11</v>
      </c>
      <c r="C31" s="32" t="s">
        <v>29</v>
      </c>
      <c r="D31" t="s">
        <v>9</v>
      </c>
      <c r="E31">
        <v>2008</v>
      </c>
      <c r="F31">
        <v>6</v>
      </c>
      <c r="G31" s="32">
        <v>117471</v>
      </c>
      <c r="H31" s="32">
        <v>976032</v>
      </c>
      <c r="I31" s="32">
        <v>724898</v>
      </c>
      <c r="J31" s="16">
        <v>720</v>
      </c>
      <c r="K31" s="16">
        <v>0</v>
      </c>
      <c r="L31">
        <v>48045.756000000001</v>
      </c>
      <c r="M31">
        <v>0.1089059</v>
      </c>
      <c r="N31">
        <v>1.0270250000000001</v>
      </c>
      <c r="O31" s="32">
        <f t="shared" si="0"/>
        <v>-2.2172710723657176</v>
      </c>
      <c r="P31" s="32">
        <f t="shared" si="1"/>
        <v>2.6666273396003155E-2</v>
      </c>
      <c r="Q31" s="32">
        <f t="shared" si="2"/>
        <v>1.3464404647274513</v>
      </c>
      <c r="R31" s="32">
        <f t="shared" si="3"/>
        <v>0.2974644174590757</v>
      </c>
    </row>
    <row r="32" spans="1:18">
      <c r="A32">
        <v>13407</v>
      </c>
      <c r="B32" t="s">
        <v>11</v>
      </c>
      <c r="C32" s="32" t="s">
        <v>29</v>
      </c>
      <c r="D32" t="s">
        <v>9</v>
      </c>
      <c r="E32">
        <v>2008</v>
      </c>
      <c r="F32">
        <v>7</v>
      </c>
      <c r="G32" s="32">
        <v>178449</v>
      </c>
      <c r="H32" s="32">
        <v>1529300</v>
      </c>
      <c r="I32" s="32">
        <v>726448</v>
      </c>
      <c r="J32" s="16">
        <v>895</v>
      </c>
      <c r="K32" s="16">
        <v>0</v>
      </c>
      <c r="L32">
        <v>48045.756000000001</v>
      </c>
      <c r="M32">
        <v>0.105586</v>
      </c>
      <c r="N32">
        <v>1.0270250000000001</v>
      </c>
      <c r="O32" s="32">
        <f t="shared" si="0"/>
        <v>-2.2482294922564945</v>
      </c>
      <c r="P32" s="32">
        <f t="shared" si="1"/>
        <v>2.6666273396003155E-2</v>
      </c>
      <c r="Q32" s="32">
        <f t="shared" si="2"/>
        <v>2.105174768187124</v>
      </c>
      <c r="R32" s="32">
        <f t="shared" si="3"/>
        <v>0.74439848895498029</v>
      </c>
    </row>
    <row r="33" spans="1:18">
      <c r="A33">
        <v>13407</v>
      </c>
      <c r="B33" t="s">
        <v>11</v>
      </c>
      <c r="C33" s="32" t="s">
        <v>29</v>
      </c>
      <c r="D33" t="s">
        <v>9</v>
      </c>
      <c r="E33">
        <v>2008</v>
      </c>
      <c r="F33">
        <v>8</v>
      </c>
      <c r="G33" s="32">
        <v>147925</v>
      </c>
      <c r="H33" s="32">
        <v>1369853</v>
      </c>
      <c r="I33" s="32">
        <v>729960</v>
      </c>
      <c r="J33" s="16">
        <v>873</v>
      </c>
      <c r="K33" s="16">
        <v>0</v>
      </c>
      <c r="L33">
        <v>48045.756000000001</v>
      </c>
      <c r="M33">
        <v>9.7713099999999997E-2</v>
      </c>
      <c r="N33">
        <v>1.0270250000000001</v>
      </c>
      <c r="O33" s="32">
        <f t="shared" si="0"/>
        <v>-2.3257196449914477</v>
      </c>
      <c r="P33" s="32">
        <f t="shared" si="1"/>
        <v>2.6666273396003155E-2</v>
      </c>
      <c r="Q33" s="32">
        <f t="shared" si="2"/>
        <v>1.8766137870568251</v>
      </c>
      <c r="R33" s="32">
        <f t="shared" si="3"/>
        <v>0.62946897567450488</v>
      </c>
    </row>
    <row r="34" spans="1:18">
      <c r="A34">
        <v>13407</v>
      </c>
      <c r="B34" t="s">
        <v>11</v>
      </c>
      <c r="C34" s="32" t="s">
        <v>29</v>
      </c>
      <c r="D34" t="s">
        <v>9</v>
      </c>
      <c r="E34">
        <v>2008</v>
      </c>
      <c r="F34">
        <v>9</v>
      </c>
      <c r="G34" s="32">
        <v>109611</v>
      </c>
      <c r="H34" s="32">
        <v>998811</v>
      </c>
      <c r="I34" s="32">
        <v>726783</v>
      </c>
      <c r="J34" s="16">
        <v>602</v>
      </c>
      <c r="K34" s="16">
        <v>0</v>
      </c>
      <c r="L34">
        <v>48045.756000000001</v>
      </c>
      <c r="M34">
        <v>9.9301500000000001E-2</v>
      </c>
      <c r="N34">
        <v>1.0270250000000001</v>
      </c>
      <c r="O34" s="32">
        <f t="shared" si="0"/>
        <v>-2.3095946023049194</v>
      </c>
      <c r="P34" s="32">
        <f t="shared" si="1"/>
        <v>2.6666273396003155E-2</v>
      </c>
      <c r="Q34" s="32">
        <f t="shared" si="2"/>
        <v>1.3742905378909522</v>
      </c>
      <c r="R34" s="32">
        <f t="shared" si="3"/>
        <v>0.31793762551600341</v>
      </c>
    </row>
    <row r="35" spans="1:18">
      <c r="A35">
        <v>13407</v>
      </c>
      <c r="B35" t="s">
        <v>11</v>
      </c>
      <c r="C35" s="32" t="s">
        <v>29</v>
      </c>
      <c r="D35" t="s">
        <v>9</v>
      </c>
      <c r="E35">
        <v>2008</v>
      </c>
      <c r="F35">
        <v>10</v>
      </c>
      <c r="G35" s="32">
        <v>69372</v>
      </c>
      <c r="H35" s="32">
        <v>594009</v>
      </c>
      <c r="I35" s="32">
        <v>726347</v>
      </c>
      <c r="J35" s="16">
        <v>224</v>
      </c>
      <c r="K35" s="16">
        <v>29</v>
      </c>
      <c r="L35">
        <v>48045.756000000001</v>
      </c>
      <c r="M35">
        <v>0.10567600000000001</v>
      </c>
      <c r="N35">
        <v>1.0270250000000001</v>
      </c>
      <c r="O35" s="32">
        <f t="shared" si="0"/>
        <v>-2.2473774695979509</v>
      </c>
      <c r="P35" s="32">
        <f t="shared" si="1"/>
        <v>2.6666273396003155E-2</v>
      </c>
      <c r="Q35" s="32">
        <f t="shared" si="2"/>
        <v>0.81780333642184799</v>
      </c>
      <c r="R35" s="32">
        <f t="shared" si="3"/>
        <v>-0.20113339130710733</v>
      </c>
    </row>
    <row r="36" spans="1:18">
      <c r="A36">
        <v>13407</v>
      </c>
      <c r="B36" t="s">
        <v>11</v>
      </c>
      <c r="C36" s="32" t="s">
        <v>29</v>
      </c>
      <c r="D36" t="s">
        <v>9</v>
      </c>
      <c r="E36">
        <v>2008</v>
      </c>
      <c r="F36">
        <v>11</v>
      </c>
      <c r="G36" s="32">
        <v>45250</v>
      </c>
      <c r="H36" s="32">
        <v>365923</v>
      </c>
      <c r="I36" s="32">
        <v>724945</v>
      </c>
      <c r="J36" s="16">
        <v>14</v>
      </c>
      <c r="K36" s="16">
        <v>131</v>
      </c>
      <c r="L36">
        <v>48045.756000000001</v>
      </c>
      <c r="M36">
        <v>0.1118958</v>
      </c>
      <c r="N36">
        <v>1.0270250000000001</v>
      </c>
      <c r="O36" s="32">
        <f t="shared" si="0"/>
        <v>-2.1901871978807219</v>
      </c>
      <c r="P36" s="32">
        <f t="shared" si="1"/>
        <v>2.6666273396003155E-2</v>
      </c>
      <c r="Q36" s="32">
        <f t="shared" si="2"/>
        <v>0.50475967142334932</v>
      </c>
      <c r="R36" s="32">
        <f t="shared" si="3"/>
        <v>-0.68367286115383741</v>
      </c>
    </row>
    <row r="37" spans="1:18">
      <c r="A37">
        <v>13407</v>
      </c>
      <c r="B37" t="s">
        <v>11</v>
      </c>
      <c r="C37" s="32" t="s">
        <v>29</v>
      </c>
      <c r="D37" t="s">
        <v>9</v>
      </c>
      <c r="E37">
        <v>2008</v>
      </c>
      <c r="F37">
        <v>12</v>
      </c>
      <c r="G37" s="32">
        <v>62715</v>
      </c>
      <c r="H37" s="32">
        <v>532060</v>
      </c>
      <c r="I37" s="32">
        <v>725856</v>
      </c>
      <c r="J37" s="16">
        <v>0</v>
      </c>
      <c r="K37" s="16">
        <v>577</v>
      </c>
      <c r="L37">
        <v>48045.756000000001</v>
      </c>
      <c r="M37">
        <v>0.10665860000000001</v>
      </c>
      <c r="N37">
        <v>1.0270250000000001</v>
      </c>
      <c r="O37" s="32">
        <f t="shared" si="0"/>
        <v>-2.2381221997161891</v>
      </c>
      <c r="P37" s="32">
        <f t="shared" si="1"/>
        <v>2.6666273396003155E-2</v>
      </c>
      <c r="Q37" s="32">
        <f t="shared" si="2"/>
        <v>0.73301040426751307</v>
      </c>
      <c r="R37" s="32">
        <f t="shared" si="3"/>
        <v>-0.31059538310684404</v>
      </c>
    </row>
    <row r="38" spans="1:18">
      <c r="A38">
        <v>22814</v>
      </c>
      <c r="B38" t="s">
        <v>12</v>
      </c>
      <c r="C38" s="32" t="s">
        <v>30</v>
      </c>
      <c r="D38" t="s">
        <v>9</v>
      </c>
      <c r="E38">
        <v>2008</v>
      </c>
      <c r="F38">
        <v>1</v>
      </c>
      <c r="G38">
        <v>166</v>
      </c>
      <c r="H38">
        <v>2431</v>
      </c>
      <c r="I38">
        <v>1524</v>
      </c>
      <c r="J38" s="18">
        <v>0</v>
      </c>
      <c r="K38" s="18">
        <v>1468</v>
      </c>
      <c r="L38">
        <v>63453.828000000009</v>
      </c>
      <c r="M38">
        <v>6.1788599999999999E-2</v>
      </c>
      <c r="N38">
        <v>1.2251909999999999</v>
      </c>
      <c r="O38" s="32">
        <f t="shared" si="0"/>
        <v>-2.7840363975538582</v>
      </c>
      <c r="P38" s="32">
        <f t="shared" si="1"/>
        <v>0.20309675021003187</v>
      </c>
      <c r="Q38" s="32">
        <f t="shared" si="2"/>
        <v>1.5951443569553805</v>
      </c>
      <c r="R38" s="32">
        <f t="shared" si="3"/>
        <v>0.46696423806953175</v>
      </c>
    </row>
    <row r="39" spans="1:18">
      <c r="A39">
        <v>22814</v>
      </c>
      <c r="B39" t="s">
        <v>12</v>
      </c>
      <c r="C39" s="32" t="s">
        <v>30</v>
      </c>
      <c r="D39" t="s">
        <v>9</v>
      </c>
      <c r="E39">
        <v>2008</v>
      </c>
      <c r="F39">
        <v>2</v>
      </c>
      <c r="G39">
        <v>135</v>
      </c>
      <c r="H39">
        <v>1960</v>
      </c>
      <c r="I39">
        <v>1520</v>
      </c>
      <c r="J39" s="18">
        <v>0</v>
      </c>
      <c r="K39" s="18">
        <v>1115</v>
      </c>
      <c r="L39">
        <v>63453.828000000009</v>
      </c>
      <c r="M39">
        <v>6.2325100000000001E-2</v>
      </c>
      <c r="N39">
        <v>1.2251909999999999</v>
      </c>
      <c r="O39" s="32">
        <f t="shared" si="0"/>
        <v>-2.7753910450812236</v>
      </c>
      <c r="P39" s="32">
        <f t="shared" si="1"/>
        <v>0.20309675021003187</v>
      </c>
      <c r="Q39" s="32">
        <f t="shared" si="2"/>
        <v>1.2894736842105263</v>
      </c>
      <c r="R39" s="32">
        <f t="shared" si="3"/>
        <v>0.25423413838424086</v>
      </c>
    </row>
    <row r="40" spans="1:18">
      <c r="A40">
        <v>22814</v>
      </c>
      <c r="B40" t="s">
        <v>12</v>
      </c>
      <c r="C40" s="32" t="s">
        <v>30</v>
      </c>
      <c r="D40" t="s">
        <v>9</v>
      </c>
      <c r="E40">
        <v>2008</v>
      </c>
      <c r="F40">
        <v>3</v>
      </c>
      <c r="G40">
        <v>121</v>
      </c>
      <c r="H40">
        <v>1732</v>
      </c>
      <c r="I40">
        <v>1519</v>
      </c>
      <c r="J40" s="18">
        <v>0</v>
      </c>
      <c r="K40" s="18">
        <v>877</v>
      </c>
      <c r="L40">
        <v>63453.828000000009</v>
      </c>
      <c r="M40">
        <v>6.3215300000000002E-2</v>
      </c>
      <c r="N40">
        <v>1.2251909999999999</v>
      </c>
      <c r="O40" s="32">
        <f t="shared" si="0"/>
        <v>-2.7612089185204489</v>
      </c>
      <c r="P40" s="32">
        <f t="shared" si="1"/>
        <v>0.20309675021003187</v>
      </c>
      <c r="Q40" s="32">
        <f t="shared" si="2"/>
        <v>1.140223831468071</v>
      </c>
      <c r="R40" s="32">
        <f t="shared" si="3"/>
        <v>0.13122458652660757</v>
      </c>
    </row>
    <row r="41" spans="1:18">
      <c r="A41">
        <v>22814</v>
      </c>
      <c r="B41" t="s">
        <v>12</v>
      </c>
      <c r="C41" s="32" t="s">
        <v>30</v>
      </c>
      <c r="D41" t="s">
        <v>9</v>
      </c>
      <c r="E41">
        <v>2008</v>
      </c>
      <c r="F41">
        <v>4</v>
      </c>
      <c r="G41">
        <v>120</v>
      </c>
      <c r="H41">
        <v>1689</v>
      </c>
      <c r="I41">
        <v>1517</v>
      </c>
      <c r="J41" s="18">
        <v>0</v>
      </c>
      <c r="K41" s="18">
        <v>717</v>
      </c>
      <c r="L41">
        <v>63453.828000000009</v>
      </c>
      <c r="M41">
        <v>6.4288999999999999E-2</v>
      </c>
      <c r="N41">
        <v>1.2251909999999999</v>
      </c>
      <c r="O41" s="32">
        <f t="shared" si="0"/>
        <v>-2.7443667354681023</v>
      </c>
      <c r="P41" s="32">
        <f t="shared" si="1"/>
        <v>0.20309675021003187</v>
      </c>
      <c r="Q41" s="32">
        <f t="shared" si="2"/>
        <v>1.1133816743572842</v>
      </c>
      <c r="R41" s="32">
        <f t="shared" si="3"/>
        <v>0.10740193745926789</v>
      </c>
    </row>
    <row r="42" spans="1:18">
      <c r="A42">
        <v>22814</v>
      </c>
      <c r="B42" t="s">
        <v>12</v>
      </c>
      <c r="C42" s="32" t="s">
        <v>30</v>
      </c>
      <c r="D42" t="s">
        <v>9</v>
      </c>
      <c r="E42">
        <v>2008</v>
      </c>
      <c r="F42">
        <v>5</v>
      </c>
      <c r="G42">
        <v>79</v>
      </c>
      <c r="H42">
        <v>1063</v>
      </c>
      <c r="I42">
        <v>1518</v>
      </c>
      <c r="J42" s="18">
        <v>7</v>
      </c>
      <c r="K42" s="18">
        <v>380</v>
      </c>
      <c r="L42">
        <v>63453.828000000009</v>
      </c>
      <c r="M42">
        <v>6.7247899999999999E-2</v>
      </c>
      <c r="N42">
        <v>1.2251909999999999</v>
      </c>
      <c r="O42" s="32">
        <f t="shared" si="0"/>
        <v>-2.6993694877535535</v>
      </c>
      <c r="P42" s="32">
        <f t="shared" si="1"/>
        <v>0.20309675021003187</v>
      </c>
      <c r="Q42" s="32">
        <f t="shared" si="2"/>
        <v>0.70026350461133069</v>
      </c>
      <c r="R42" s="32">
        <f t="shared" si="3"/>
        <v>-0.35629857961362732</v>
      </c>
    </row>
    <row r="43" spans="1:18">
      <c r="A43">
        <v>22814</v>
      </c>
      <c r="B43" t="s">
        <v>12</v>
      </c>
      <c r="C43" s="32" t="s">
        <v>30</v>
      </c>
      <c r="D43" t="s">
        <v>9</v>
      </c>
      <c r="E43">
        <v>2008</v>
      </c>
      <c r="F43">
        <v>6</v>
      </c>
      <c r="G43">
        <v>64</v>
      </c>
      <c r="H43">
        <v>849</v>
      </c>
      <c r="I43">
        <v>1476</v>
      </c>
      <c r="J43" s="18">
        <v>57</v>
      </c>
      <c r="K43" s="18">
        <v>148</v>
      </c>
      <c r="L43">
        <v>63453.828000000009</v>
      </c>
      <c r="M43">
        <v>6.8211499999999994E-2</v>
      </c>
      <c r="N43">
        <v>1.2251909999999999</v>
      </c>
      <c r="O43" s="32">
        <f t="shared" si="0"/>
        <v>-2.6851421066468819</v>
      </c>
      <c r="P43" s="32">
        <f t="shared" si="1"/>
        <v>0.20309675021003187</v>
      </c>
      <c r="Q43" s="32">
        <f t="shared" si="2"/>
        <v>0.57520325203252032</v>
      </c>
      <c r="R43" s="32">
        <f t="shared" si="3"/>
        <v>-0.55303181884907049</v>
      </c>
    </row>
    <row r="44" spans="1:18">
      <c r="A44">
        <v>22814</v>
      </c>
      <c r="B44" t="s">
        <v>12</v>
      </c>
      <c r="C44" s="32" t="s">
        <v>30</v>
      </c>
      <c r="D44" t="s">
        <v>9</v>
      </c>
      <c r="E44">
        <v>2008</v>
      </c>
      <c r="F44">
        <v>7</v>
      </c>
      <c r="G44">
        <v>71</v>
      </c>
      <c r="H44">
        <v>921</v>
      </c>
      <c r="I44">
        <v>1466</v>
      </c>
      <c r="J44" s="18">
        <v>207</v>
      </c>
      <c r="K44" s="18">
        <v>0</v>
      </c>
      <c r="L44">
        <v>63453.828000000009</v>
      </c>
      <c r="M44">
        <v>6.9756299999999993E-2</v>
      </c>
      <c r="N44">
        <v>1.2251909999999999</v>
      </c>
      <c r="O44" s="32">
        <f t="shared" si="0"/>
        <v>-2.6627475397788558</v>
      </c>
      <c r="P44" s="32">
        <f t="shared" si="1"/>
        <v>0.20309675021003187</v>
      </c>
      <c r="Q44" s="32">
        <f t="shared" si="2"/>
        <v>0.62824010914051842</v>
      </c>
      <c r="R44" s="32">
        <f t="shared" si="3"/>
        <v>-0.46483284619128995</v>
      </c>
    </row>
    <row r="45" spans="1:18">
      <c r="A45">
        <v>22814</v>
      </c>
      <c r="B45" t="s">
        <v>12</v>
      </c>
      <c r="C45" s="32" t="s">
        <v>30</v>
      </c>
      <c r="D45" t="s">
        <v>9</v>
      </c>
      <c r="E45">
        <v>2008</v>
      </c>
      <c r="F45">
        <v>8</v>
      </c>
      <c r="G45">
        <v>60</v>
      </c>
      <c r="H45">
        <v>789</v>
      </c>
      <c r="I45">
        <v>1445</v>
      </c>
      <c r="J45" s="18">
        <v>175</v>
      </c>
      <c r="K45" s="18">
        <v>0</v>
      </c>
      <c r="L45">
        <v>63453.828000000009</v>
      </c>
      <c r="M45">
        <v>6.8811200000000003E-2</v>
      </c>
      <c r="N45">
        <v>1.2251909999999999</v>
      </c>
      <c r="O45" s="32">
        <f t="shared" si="0"/>
        <v>-2.6763887565941324</v>
      </c>
      <c r="P45" s="32">
        <f t="shared" si="1"/>
        <v>0.20309675021003187</v>
      </c>
      <c r="Q45" s="32">
        <f t="shared" si="2"/>
        <v>0.54602076124567478</v>
      </c>
      <c r="R45" s="32">
        <f t="shared" si="3"/>
        <v>-0.60509827970065821</v>
      </c>
    </row>
    <row r="46" spans="1:18">
      <c r="A46">
        <v>22814</v>
      </c>
      <c r="B46" t="s">
        <v>12</v>
      </c>
      <c r="C46" s="32" t="s">
        <v>30</v>
      </c>
      <c r="D46" t="s">
        <v>9</v>
      </c>
      <c r="E46">
        <v>2008</v>
      </c>
      <c r="F46">
        <v>9</v>
      </c>
      <c r="G46">
        <v>72</v>
      </c>
      <c r="H46">
        <v>961</v>
      </c>
      <c r="I46">
        <v>1438</v>
      </c>
      <c r="J46" s="18">
        <v>9</v>
      </c>
      <c r="K46" s="18">
        <v>141</v>
      </c>
      <c r="L46">
        <v>63453.828000000009</v>
      </c>
      <c r="M46">
        <v>6.7794400000000005E-2</v>
      </c>
      <c r="N46">
        <v>1.2251909999999999</v>
      </c>
      <c r="O46" s="32">
        <f t="shared" si="0"/>
        <v>-2.6912756833172202</v>
      </c>
      <c r="P46" s="32">
        <f t="shared" si="1"/>
        <v>0.20309675021003187</v>
      </c>
      <c r="Q46" s="32">
        <f t="shared" si="2"/>
        <v>0.66828929068150211</v>
      </c>
      <c r="R46" s="32">
        <f t="shared" si="3"/>
        <v>-0.40303412931069948</v>
      </c>
    </row>
    <row r="47" spans="1:18">
      <c r="A47">
        <v>22814</v>
      </c>
      <c r="B47" t="s">
        <v>12</v>
      </c>
      <c r="C47" s="32" t="s">
        <v>30</v>
      </c>
      <c r="D47" t="s">
        <v>9</v>
      </c>
      <c r="E47">
        <v>2008</v>
      </c>
      <c r="F47">
        <v>10</v>
      </c>
      <c r="G47">
        <v>74</v>
      </c>
      <c r="H47">
        <v>1002</v>
      </c>
      <c r="I47">
        <v>1437</v>
      </c>
      <c r="J47" s="18">
        <v>0</v>
      </c>
      <c r="K47" s="18">
        <v>534</v>
      </c>
      <c r="L47">
        <v>63453.828000000009</v>
      </c>
      <c r="M47">
        <v>6.6826499999999997E-2</v>
      </c>
      <c r="N47">
        <v>1.2251909999999999</v>
      </c>
      <c r="O47" s="32">
        <f t="shared" si="0"/>
        <v>-2.7056555705199643</v>
      </c>
      <c r="P47" s="32">
        <f t="shared" si="1"/>
        <v>0.20309675021003187</v>
      </c>
      <c r="Q47" s="32">
        <f t="shared" si="2"/>
        <v>0.69728601252609601</v>
      </c>
      <c r="R47" s="32">
        <f t="shared" si="3"/>
        <v>-0.36055960443421486</v>
      </c>
    </row>
    <row r="48" spans="1:18">
      <c r="A48">
        <v>22814</v>
      </c>
      <c r="B48" t="s">
        <v>12</v>
      </c>
      <c r="C48" s="32" t="s">
        <v>30</v>
      </c>
      <c r="D48" t="s">
        <v>9</v>
      </c>
      <c r="E48">
        <v>2008</v>
      </c>
      <c r="F48">
        <v>11</v>
      </c>
      <c r="G48">
        <v>109</v>
      </c>
      <c r="H48">
        <v>1363</v>
      </c>
      <c r="I48">
        <v>1436</v>
      </c>
      <c r="J48" s="18">
        <v>0</v>
      </c>
      <c r="K48" s="18">
        <v>694</v>
      </c>
      <c r="L48">
        <v>63453.828000000009</v>
      </c>
      <c r="M48">
        <v>7.2362800000000005E-2</v>
      </c>
      <c r="N48">
        <v>1.2251909999999999</v>
      </c>
      <c r="O48" s="32">
        <f t="shared" si="0"/>
        <v>-2.6260629237918609</v>
      </c>
      <c r="P48" s="32">
        <f t="shared" si="1"/>
        <v>0.20309675021003187</v>
      </c>
      <c r="Q48" s="32">
        <f t="shared" si="2"/>
        <v>0.94916434540389971</v>
      </c>
      <c r="R48" s="32">
        <f t="shared" si="3"/>
        <v>-5.2173317911636888E-2</v>
      </c>
    </row>
    <row r="49" spans="1:18">
      <c r="A49">
        <v>22814</v>
      </c>
      <c r="B49" t="s">
        <v>12</v>
      </c>
      <c r="C49" s="32" t="s">
        <v>30</v>
      </c>
      <c r="D49" t="s">
        <v>9</v>
      </c>
      <c r="E49">
        <v>2008</v>
      </c>
      <c r="F49">
        <v>12</v>
      </c>
      <c r="G49">
        <v>178</v>
      </c>
      <c r="H49">
        <v>2155</v>
      </c>
      <c r="I49">
        <v>1439</v>
      </c>
      <c r="J49" s="18">
        <v>0</v>
      </c>
      <c r="K49" s="18">
        <v>1255</v>
      </c>
      <c r="L49">
        <v>63453.828000000009</v>
      </c>
      <c r="M49">
        <v>7.4740799999999996E-2</v>
      </c>
      <c r="N49">
        <v>1.2251909999999999</v>
      </c>
      <c r="O49" s="32">
        <f t="shared" si="0"/>
        <v>-2.5937291512090042</v>
      </c>
      <c r="P49" s="32">
        <f t="shared" si="1"/>
        <v>0.20309675021003187</v>
      </c>
      <c r="Q49" s="32">
        <f t="shared" si="2"/>
        <v>1.4975677553856845</v>
      </c>
      <c r="R49" s="32">
        <f t="shared" si="3"/>
        <v>0.40384229565048035</v>
      </c>
    </row>
    <row r="50" spans="1:18">
      <c r="A50">
        <v>17166</v>
      </c>
      <c r="B50" t="s">
        <v>13</v>
      </c>
      <c r="C50" s="32" t="s">
        <v>31</v>
      </c>
      <c r="D50" t="s">
        <v>9</v>
      </c>
      <c r="E50">
        <v>2008</v>
      </c>
      <c r="F50">
        <v>1</v>
      </c>
      <c r="G50">
        <v>29837</v>
      </c>
      <c r="H50">
        <v>238448</v>
      </c>
      <c r="I50">
        <v>276485</v>
      </c>
      <c r="J50" s="21">
        <v>0</v>
      </c>
      <c r="K50" s="21">
        <v>1071</v>
      </c>
      <c r="L50">
        <v>51898.644</v>
      </c>
      <c r="M50">
        <v>0.1132261</v>
      </c>
      <c r="N50">
        <v>1.2251909999999999</v>
      </c>
      <c r="O50" s="32">
        <f t="shared" si="0"/>
        <v>-2.17836857441814</v>
      </c>
      <c r="P50" s="32">
        <f t="shared" si="1"/>
        <v>0.20309675021003187</v>
      </c>
      <c r="Q50" s="32">
        <f t="shared" si="2"/>
        <v>0.86242653308497752</v>
      </c>
      <c r="R50" s="32">
        <f t="shared" si="3"/>
        <v>-0.14800531273647211</v>
      </c>
    </row>
    <row r="51" spans="1:18">
      <c r="A51">
        <v>17166</v>
      </c>
      <c r="B51" t="s">
        <v>13</v>
      </c>
      <c r="C51" s="32" t="s">
        <v>31</v>
      </c>
      <c r="D51" t="s">
        <v>9</v>
      </c>
      <c r="E51">
        <v>2008</v>
      </c>
      <c r="F51">
        <v>2</v>
      </c>
      <c r="G51">
        <v>24212</v>
      </c>
      <c r="H51">
        <v>191609</v>
      </c>
      <c r="I51">
        <v>276433</v>
      </c>
      <c r="J51" s="21">
        <v>0</v>
      </c>
      <c r="K51" s="21">
        <v>780</v>
      </c>
      <c r="L51">
        <v>51898.644</v>
      </c>
      <c r="M51">
        <v>0.11434039999999999</v>
      </c>
      <c r="N51">
        <v>1.2251909999999999</v>
      </c>
      <c r="O51" s="32">
        <f t="shared" si="0"/>
        <v>-2.1685753148141416</v>
      </c>
      <c r="P51" s="32">
        <f t="shared" si="1"/>
        <v>0.20309675021003187</v>
      </c>
      <c r="Q51" s="32">
        <f t="shared" si="2"/>
        <v>0.69314806842887788</v>
      </c>
      <c r="R51" s="32">
        <f t="shared" si="3"/>
        <v>-0.36651163965837874</v>
      </c>
    </row>
    <row r="52" spans="1:18">
      <c r="A52">
        <v>17166</v>
      </c>
      <c r="B52" t="s">
        <v>13</v>
      </c>
      <c r="C52" s="32" t="s">
        <v>31</v>
      </c>
      <c r="D52" t="s">
        <v>9</v>
      </c>
      <c r="E52">
        <v>2008</v>
      </c>
      <c r="F52">
        <v>3</v>
      </c>
      <c r="G52">
        <v>22699</v>
      </c>
      <c r="H52">
        <v>175692</v>
      </c>
      <c r="I52">
        <v>275909</v>
      </c>
      <c r="J52" s="21">
        <v>0</v>
      </c>
      <c r="K52" s="21">
        <v>662</v>
      </c>
      <c r="L52">
        <v>51898.644</v>
      </c>
      <c r="M52">
        <v>0.11690680000000001</v>
      </c>
      <c r="N52">
        <v>1.2251909999999999</v>
      </c>
      <c r="O52" s="32">
        <f t="shared" si="0"/>
        <v>-2.1463782428203522</v>
      </c>
      <c r="P52" s="32">
        <f t="shared" si="1"/>
        <v>0.20309675021003187</v>
      </c>
      <c r="Q52" s="32">
        <f t="shared" si="2"/>
        <v>0.63677516862443773</v>
      </c>
      <c r="R52" s="32">
        <f t="shared" si="3"/>
        <v>-0.45133863920653683</v>
      </c>
    </row>
    <row r="53" spans="1:18">
      <c r="A53">
        <v>17166</v>
      </c>
      <c r="B53" t="s">
        <v>13</v>
      </c>
      <c r="C53" s="32" t="s">
        <v>31</v>
      </c>
      <c r="D53" t="s">
        <v>9</v>
      </c>
      <c r="E53">
        <v>2008</v>
      </c>
      <c r="F53">
        <v>4</v>
      </c>
      <c r="G53">
        <v>20658</v>
      </c>
      <c r="H53">
        <v>159681</v>
      </c>
      <c r="I53">
        <v>276010</v>
      </c>
      <c r="J53" s="21">
        <v>0</v>
      </c>
      <c r="K53" s="21">
        <v>503</v>
      </c>
      <c r="L53">
        <v>51898.644</v>
      </c>
      <c r="M53">
        <v>0.1170631</v>
      </c>
      <c r="N53">
        <v>1.2251909999999999</v>
      </c>
      <c r="O53" s="32">
        <f t="shared" si="0"/>
        <v>-2.1450421733237999</v>
      </c>
      <c r="P53" s="32">
        <f t="shared" si="1"/>
        <v>0.20309675021003187</v>
      </c>
      <c r="Q53" s="32">
        <f t="shared" si="2"/>
        <v>0.57853338647150465</v>
      </c>
      <c r="R53" s="32">
        <f t="shared" si="3"/>
        <v>-0.54725902187625475</v>
      </c>
    </row>
    <row r="54" spans="1:18">
      <c r="A54">
        <v>17166</v>
      </c>
      <c r="B54" t="s">
        <v>13</v>
      </c>
      <c r="C54" s="32" t="s">
        <v>31</v>
      </c>
      <c r="D54" t="s">
        <v>9</v>
      </c>
      <c r="E54">
        <v>2008</v>
      </c>
      <c r="F54">
        <v>5</v>
      </c>
      <c r="G54">
        <v>20457</v>
      </c>
      <c r="H54">
        <v>156994</v>
      </c>
      <c r="I54">
        <v>275622</v>
      </c>
      <c r="J54" s="21">
        <v>45</v>
      </c>
      <c r="K54" s="21">
        <v>289</v>
      </c>
      <c r="L54">
        <v>51898.644</v>
      </c>
      <c r="M54">
        <v>0.1179082</v>
      </c>
      <c r="N54">
        <v>1.2251909999999999</v>
      </c>
      <c r="O54" s="32">
        <f t="shared" si="0"/>
        <v>-2.1378489233908362</v>
      </c>
      <c r="P54" s="32">
        <f t="shared" si="1"/>
        <v>0.20309675021003187</v>
      </c>
      <c r="Q54" s="32">
        <f t="shared" si="2"/>
        <v>0.56959894348056395</v>
      </c>
      <c r="R54" s="32">
        <f t="shared" si="3"/>
        <v>-0.56282277373060685</v>
      </c>
    </row>
    <row r="55" spans="1:18">
      <c r="A55">
        <v>17166</v>
      </c>
      <c r="B55" t="s">
        <v>13</v>
      </c>
      <c r="C55" s="32" t="s">
        <v>31</v>
      </c>
      <c r="D55" t="s">
        <v>9</v>
      </c>
      <c r="E55">
        <v>2008</v>
      </c>
      <c r="F55">
        <v>6</v>
      </c>
      <c r="G55">
        <v>20899</v>
      </c>
      <c r="H55">
        <v>159957</v>
      </c>
      <c r="I55">
        <v>275911</v>
      </c>
      <c r="J55" s="21">
        <v>169</v>
      </c>
      <c r="K55" s="21">
        <v>68</v>
      </c>
      <c r="L55">
        <v>51898.644</v>
      </c>
      <c r="M55">
        <v>0.11822439999999999</v>
      </c>
      <c r="N55">
        <v>1.2251909999999999</v>
      </c>
      <c r="O55" s="32">
        <f t="shared" si="0"/>
        <v>-2.1351707655338008</v>
      </c>
      <c r="P55" s="32">
        <f t="shared" si="1"/>
        <v>0.20309675021003187</v>
      </c>
      <c r="Q55" s="32">
        <f t="shared" si="2"/>
        <v>0.57974129338808533</v>
      </c>
      <c r="R55" s="32">
        <f t="shared" si="3"/>
        <v>-0.54517332083233938</v>
      </c>
    </row>
    <row r="56" spans="1:18">
      <c r="A56">
        <v>17166</v>
      </c>
      <c r="B56" t="s">
        <v>13</v>
      </c>
      <c r="C56" s="32" t="s">
        <v>31</v>
      </c>
      <c r="D56" t="s">
        <v>9</v>
      </c>
      <c r="E56">
        <v>2008</v>
      </c>
      <c r="F56">
        <v>7</v>
      </c>
      <c r="G56">
        <v>30335</v>
      </c>
      <c r="H56">
        <v>232572</v>
      </c>
      <c r="I56">
        <v>275084</v>
      </c>
      <c r="J56" s="21">
        <v>379</v>
      </c>
      <c r="K56" s="21">
        <v>0</v>
      </c>
      <c r="L56">
        <v>51898.644</v>
      </c>
      <c r="M56">
        <v>0.1180243</v>
      </c>
      <c r="N56">
        <v>1.2251909999999999</v>
      </c>
      <c r="O56" s="32">
        <f t="shared" si="0"/>
        <v>-2.1368647435142081</v>
      </c>
      <c r="P56" s="32">
        <f t="shared" si="1"/>
        <v>0.20309675021003187</v>
      </c>
      <c r="Q56" s="32">
        <f t="shared" si="2"/>
        <v>0.84545811461226394</v>
      </c>
      <c r="R56" s="32">
        <f t="shared" si="3"/>
        <v>-0.16787665106367294</v>
      </c>
    </row>
    <row r="57" spans="1:18">
      <c r="A57">
        <v>17166</v>
      </c>
      <c r="B57" t="s">
        <v>13</v>
      </c>
      <c r="C57" s="32" t="s">
        <v>31</v>
      </c>
      <c r="D57" t="s">
        <v>9</v>
      </c>
      <c r="E57">
        <v>2008</v>
      </c>
      <c r="F57">
        <v>8</v>
      </c>
      <c r="G57">
        <v>34001</v>
      </c>
      <c r="H57">
        <v>238351</v>
      </c>
      <c r="I57">
        <v>275845</v>
      </c>
      <c r="J57" s="21">
        <v>359</v>
      </c>
      <c r="K57" s="21">
        <v>3</v>
      </c>
      <c r="L57">
        <v>51898.644</v>
      </c>
      <c r="M57">
        <v>0.12908020000000001</v>
      </c>
      <c r="N57">
        <v>1.2251909999999999</v>
      </c>
      <c r="O57" s="32">
        <f t="shared" si="0"/>
        <v>-2.0473213623728643</v>
      </c>
      <c r="P57" s="32">
        <f t="shared" si="1"/>
        <v>0.20309675021003187</v>
      </c>
      <c r="Q57" s="32">
        <f t="shared" si="2"/>
        <v>0.86407583969258095</v>
      </c>
      <c r="R57" s="32">
        <f t="shared" si="3"/>
        <v>-0.14609473660832523</v>
      </c>
    </row>
    <row r="58" spans="1:18">
      <c r="A58">
        <v>17166</v>
      </c>
      <c r="B58" t="s">
        <v>13</v>
      </c>
      <c r="C58" s="32" t="s">
        <v>31</v>
      </c>
      <c r="D58" t="s">
        <v>9</v>
      </c>
      <c r="E58">
        <v>2008</v>
      </c>
      <c r="F58">
        <v>9</v>
      </c>
      <c r="G58">
        <v>24597</v>
      </c>
      <c r="H58">
        <v>176945</v>
      </c>
      <c r="I58">
        <v>275759</v>
      </c>
      <c r="J58" s="21">
        <v>145</v>
      </c>
      <c r="K58" s="21">
        <v>24</v>
      </c>
      <c r="L58">
        <v>51898.644</v>
      </c>
      <c r="M58">
        <v>0.12578500000000001</v>
      </c>
      <c r="N58">
        <v>1.2251909999999999</v>
      </c>
      <c r="O58" s="32">
        <f t="shared" si="0"/>
        <v>-2.0731811787090222</v>
      </c>
      <c r="P58" s="32">
        <f t="shared" si="1"/>
        <v>0.20309675021003187</v>
      </c>
      <c r="Q58" s="32">
        <f t="shared" si="2"/>
        <v>0.64166536722282863</v>
      </c>
      <c r="R58" s="32">
        <f t="shared" si="3"/>
        <v>-0.44368834603769275</v>
      </c>
    </row>
    <row r="59" spans="1:18">
      <c r="A59">
        <v>17166</v>
      </c>
      <c r="B59" t="s">
        <v>13</v>
      </c>
      <c r="C59" s="32" t="s">
        <v>31</v>
      </c>
      <c r="D59" t="s">
        <v>9</v>
      </c>
      <c r="E59">
        <v>2008</v>
      </c>
      <c r="F59">
        <v>10</v>
      </c>
      <c r="G59">
        <v>22188</v>
      </c>
      <c r="H59">
        <v>152430</v>
      </c>
      <c r="I59">
        <v>274993</v>
      </c>
      <c r="J59" s="21">
        <v>7</v>
      </c>
      <c r="K59" s="21">
        <v>305</v>
      </c>
      <c r="L59">
        <v>51898.644</v>
      </c>
      <c r="M59">
        <v>0.1317142</v>
      </c>
      <c r="N59">
        <v>1.2251909999999999</v>
      </c>
      <c r="O59" s="32">
        <f t="shared" si="0"/>
        <v>-2.0271208552402875</v>
      </c>
      <c r="P59" s="32">
        <f t="shared" si="1"/>
        <v>0.20309675021003187</v>
      </c>
      <c r="Q59" s="32">
        <f t="shared" si="2"/>
        <v>0.55430501867320259</v>
      </c>
      <c r="R59" s="32">
        <f t="shared" si="3"/>
        <v>-0.59004016852339414</v>
      </c>
    </row>
    <row r="60" spans="1:18">
      <c r="A60">
        <v>17166</v>
      </c>
      <c r="B60" t="s">
        <v>13</v>
      </c>
      <c r="C60" s="32" t="s">
        <v>31</v>
      </c>
      <c r="D60" t="s">
        <v>9</v>
      </c>
      <c r="E60">
        <v>2008</v>
      </c>
      <c r="F60">
        <v>11</v>
      </c>
      <c r="G60">
        <v>23145</v>
      </c>
      <c r="H60">
        <v>159647</v>
      </c>
      <c r="I60">
        <v>275410</v>
      </c>
      <c r="J60" s="21">
        <v>0</v>
      </c>
      <c r="K60" s="21">
        <v>551</v>
      </c>
      <c r="L60">
        <v>51898.644</v>
      </c>
      <c r="M60">
        <v>0.1311842</v>
      </c>
      <c r="N60">
        <v>1.2251909999999999</v>
      </c>
      <c r="O60" s="32">
        <f t="shared" si="0"/>
        <v>-2.0311528365533094</v>
      </c>
      <c r="P60" s="32">
        <f t="shared" si="1"/>
        <v>0.20309675021003187</v>
      </c>
      <c r="Q60" s="32">
        <f t="shared" si="2"/>
        <v>0.57967030972005373</v>
      </c>
      <c r="R60" s="32">
        <f t="shared" si="3"/>
        <v>-0.54529576857726447</v>
      </c>
    </row>
    <row r="61" spans="1:18">
      <c r="A61">
        <v>17166</v>
      </c>
      <c r="B61" t="s">
        <v>13</v>
      </c>
      <c r="C61" s="32" t="s">
        <v>31</v>
      </c>
      <c r="D61" t="s">
        <v>9</v>
      </c>
      <c r="E61">
        <v>2008</v>
      </c>
      <c r="F61">
        <v>12</v>
      </c>
      <c r="G61">
        <v>31057</v>
      </c>
      <c r="H61">
        <v>220059</v>
      </c>
      <c r="I61">
        <v>274951</v>
      </c>
      <c r="J61" s="21">
        <v>0</v>
      </c>
      <c r="K61" s="21">
        <v>955</v>
      </c>
      <c r="L61">
        <v>51898.644</v>
      </c>
      <c r="M61">
        <v>0.12770419999999999</v>
      </c>
      <c r="N61">
        <v>1.2251909999999999</v>
      </c>
      <c r="O61" s="32">
        <f t="shared" si="0"/>
        <v>-2.0580386268995294</v>
      </c>
      <c r="P61" s="32">
        <f t="shared" si="1"/>
        <v>0.20309675021003187</v>
      </c>
      <c r="Q61" s="32">
        <f t="shared" si="2"/>
        <v>0.80035715454753753</v>
      </c>
      <c r="R61" s="32">
        <f t="shared" si="3"/>
        <v>-0.2226972077558958</v>
      </c>
    </row>
    <row r="62" spans="1:18">
      <c r="A62">
        <v>19840</v>
      </c>
      <c r="B62" t="s">
        <v>14</v>
      </c>
      <c r="C62" s="32" t="s">
        <v>32</v>
      </c>
      <c r="D62" t="s">
        <v>9</v>
      </c>
      <c r="E62">
        <v>2008</v>
      </c>
      <c r="F62">
        <v>1</v>
      </c>
      <c r="G62">
        <v>3850.29</v>
      </c>
      <c r="H62">
        <v>34707.300000000003</v>
      </c>
      <c r="I62">
        <v>18348</v>
      </c>
      <c r="J62" s="26">
        <v>0</v>
      </c>
      <c r="K62" s="26">
        <v>1087</v>
      </c>
      <c r="L62">
        <v>36465.252</v>
      </c>
      <c r="M62">
        <v>0.1003824</v>
      </c>
      <c r="N62">
        <v>1.0270250000000001</v>
      </c>
      <c r="O62" s="32">
        <f t="shared" si="0"/>
        <v>-2.2987683858959205</v>
      </c>
      <c r="P62" s="32">
        <f t="shared" si="1"/>
        <v>2.6666273396003155E-2</v>
      </c>
      <c r="Q62" s="32">
        <f t="shared" si="2"/>
        <v>1.8916121648136037</v>
      </c>
      <c r="R62" s="32">
        <f t="shared" si="3"/>
        <v>0.63742946273201595</v>
      </c>
    </row>
    <row r="63" spans="1:18">
      <c r="A63">
        <v>19840</v>
      </c>
      <c r="B63" t="s">
        <v>14</v>
      </c>
      <c r="C63" s="32" t="s">
        <v>32</v>
      </c>
      <c r="D63" t="s">
        <v>9</v>
      </c>
      <c r="E63">
        <v>2008</v>
      </c>
      <c r="F63">
        <v>2</v>
      </c>
      <c r="G63">
        <v>3467.82</v>
      </c>
      <c r="H63">
        <v>30991.4</v>
      </c>
      <c r="I63">
        <v>18334</v>
      </c>
      <c r="J63" s="26">
        <v>0</v>
      </c>
      <c r="K63" s="26">
        <v>824</v>
      </c>
      <c r="L63">
        <v>36465.252</v>
      </c>
      <c r="M63">
        <v>0.1012512</v>
      </c>
      <c r="N63">
        <v>1.0270250000000001</v>
      </c>
      <c r="O63" s="32">
        <f t="shared" si="0"/>
        <v>-2.2901507212138692</v>
      </c>
      <c r="P63" s="32">
        <f t="shared" si="1"/>
        <v>2.6666273396003155E-2</v>
      </c>
      <c r="Q63" s="32">
        <f t="shared" si="2"/>
        <v>1.6903785316897568</v>
      </c>
      <c r="R63" s="32">
        <f t="shared" si="3"/>
        <v>0.52495248710285614</v>
      </c>
    </row>
    <row r="64" spans="1:18">
      <c r="A64">
        <v>19840</v>
      </c>
      <c r="B64" t="s">
        <v>14</v>
      </c>
      <c r="C64" s="32" t="s">
        <v>32</v>
      </c>
      <c r="D64" t="s">
        <v>9</v>
      </c>
      <c r="E64">
        <v>2008</v>
      </c>
      <c r="F64">
        <v>3</v>
      </c>
      <c r="G64">
        <v>2466.73</v>
      </c>
      <c r="H64">
        <v>21247.200000000001</v>
      </c>
      <c r="I64">
        <v>18344</v>
      </c>
      <c r="J64" s="26">
        <v>0</v>
      </c>
      <c r="K64" s="26">
        <v>672</v>
      </c>
      <c r="L64">
        <v>36465.252</v>
      </c>
      <c r="M64">
        <v>0.1050521</v>
      </c>
      <c r="N64">
        <v>1.0270250000000001</v>
      </c>
      <c r="O64" s="32">
        <f t="shared" si="0"/>
        <v>-2.2532988614102112</v>
      </c>
      <c r="P64" s="32">
        <f t="shared" si="1"/>
        <v>2.6666273396003155E-2</v>
      </c>
      <c r="Q64" s="32">
        <f t="shared" si="2"/>
        <v>1.1582642825992151</v>
      </c>
      <c r="R64" s="32">
        <f t="shared" si="3"/>
        <v>0.14692257642720877</v>
      </c>
    </row>
    <row r="65" spans="1:18">
      <c r="A65">
        <v>19840</v>
      </c>
      <c r="B65" t="s">
        <v>14</v>
      </c>
      <c r="C65" s="32" t="s">
        <v>32</v>
      </c>
      <c r="D65" t="s">
        <v>9</v>
      </c>
      <c r="E65">
        <v>2008</v>
      </c>
      <c r="F65">
        <v>4</v>
      </c>
      <c r="G65">
        <v>2008.66</v>
      </c>
      <c r="H65">
        <v>16785.3</v>
      </c>
      <c r="I65">
        <v>18333</v>
      </c>
      <c r="J65" s="26">
        <v>0</v>
      </c>
      <c r="K65" s="26">
        <v>463</v>
      </c>
      <c r="L65">
        <v>36465.252</v>
      </c>
      <c r="M65">
        <v>0.1082835</v>
      </c>
      <c r="N65">
        <v>1.0270250000000001</v>
      </c>
      <c r="O65" s="32">
        <f t="shared" si="0"/>
        <v>-2.2230024911529656</v>
      </c>
      <c r="P65" s="32">
        <f t="shared" si="1"/>
        <v>2.6666273396003155E-2</v>
      </c>
      <c r="Q65" s="32">
        <f t="shared" si="2"/>
        <v>0.91557846506300111</v>
      </c>
      <c r="R65" s="32">
        <f t="shared" si="3"/>
        <v>-8.8199211207628886E-2</v>
      </c>
    </row>
    <row r="66" spans="1:18">
      <c r="A66">
        <v>19840</v>
      </c>
      <c r="B66" t="s">
        <v>14</v>
      </c>
      <c r="C66" s="32" t="s">
        <v>32</v>
      </c>
      <c r="D66" t="s">
        <v>9</v>
      </c>
      <c r="E66">
        <v>2008</v>
      </c>
      <c r="F66">
        <v>5</v>
      </c>
      <c r="G66">
        <v>1891.52</v>
      </c>
      <c r="H66">
        <v>15644.2</v>
      </c>
      <c r="I66">
        <v>18357</v>
      </c>
      <c r="J66" s="26">
        <v>21</v>
      </c>
      <c r="K66" s="26">
        <v>292</v>
      </c>
      <c r="L66">
        <v>36465.252</v>
      </c>
      <c r="M66">
        <v>0.1094064</v>
      </c>
      <c r="N66">
        <v>1.0270250000000001</v>
      </c>
      <c r="O66" s="32">
        <f t="shared" si="0"/>
        <v>-2.2126858897912913</v>
      </c>
      <c r="P66" s="32">
        <f t="shared" si="1"/>
        <v>2.6666273396003155E-2</v>
      </c>
      <c r="Q66" s="32">
        <f t="shared" si="2"/>
        <v>0.85221986163316454</v>
      </c>
      <c r="R66" s="32">
        <f t="shared" si="3"/>
        <v>-0.15991073188286201</v>
      </c>
    </row>
    <row r="67" spans="1:18">
      <c r="A67">
        <v>19840</v>
      </c>
      <c r="B67" t="s">
        <v>14</v>
      </c>
      <c r="C67" s="32" t="s">
        <v>32</v>
      </c>
      <c r="D67" t="s">
        <v>9</v>
      </c>
      <c r="E67">
        <v>2008</v>
      </c>
      <c r="F67">
        <v>6</v>
      </c>
      <c r="G67">
        <v>2324.46</v>
      </c>
      <c r="H67">
        <v>19851.599999999999</v>
      </c>
      <c r="I67">
        <v>18377</v>
      </c>
      <c r="J67" s="26">
        <v>126</v>
      </c>
      <c r="K67" s="26">
        <v>25</v>
      </c>
      <c r="L67">
        <v>36465.252</v>
      </c>
      <c r="M67">
        <v>0.10595259999999999</v>
      </c>
      <c r="N67">
        <v>1.0270250000000001</v>
      </c>
      <c r="O67" s="32">
        <f t="shared" ref="O67:O85" si="4">LN(M67)</f>
        <v>-2.2447634546916264</v>
      </c>
      <c r="P67" s="32">
        <f t="shared" ref="P67:P85" si="5">LN(N67)</f>
        <v>2.6666273396003155E-2</v>
      </c>
      <c r="Q67" s="32">
        <f t="shared" ref="Q67:Q85" si="6">H67/I67</f>
        <v>1.0802416063557707</v>
      </c>
      <c r="R67" s="32">
        <f t="shared" ref="R67:R85" si="7">LN(Q67)</f>
        <v>7.7184725705546173E-2</v>
      </c>
    </row>
    <row r="68" spans="1:18">
      <c r="A68">
        <v>19840</v>
      </c>
      <c r="B68" t="s">
        <v>14</v>
      </c>
      <c r="C68" s="32" t="s">
        <v>32</v>
      </c>
      <c r="D68" t="s">
        <v>9</v>
      </c>
      <c r="E68">
        <v>2008</v>
      </c>
      <c r="F68">
        <v>7</v>
      </c>
      <c r="G68">
        <v>3200.13</v>
      </c>
      <c r="H68">
        <v>28389.9</v>
      </c>
      <c r="I68">
        <v>18386</v>
      </c>
      <c r="J68" s="26">
        <v>334</v>
      </c>
      <c r="K68" s="26">
        <v>0</v>
      </c>
      <c r="L68">
        <v>36465.252</v>
      </c>
      <c r="M68">
        <v>0.1019973</v>
      </c>
      <c r="N68">
        <v>1.0270250000000001</v>
      </c>
      <c r="O68" s="32">
        <f t="shared" si="4"/>
        <v>-2.2828089366364535</v>
      </c>
      <c r="P68" s="32">
        <f t="shared" si="5"/>
        <v>2.6666273396003155E-2</v>
      </c>
      <c r="Q68" s="32">
        <f t="shared" si="6"/>
        <v>1.5441042097247908</v>
      </c>
      <c r="R68" s="32">
        <f t="shared" si="7"/>
        <v>0.43444394267008285</v>
      </c>
    </row>
    <row r="69" spans="1:18">
      <c r="A69">
        <v>19840</v>
      </c>
      <c r="B69" t="s">
        <v>14</v>
      </c>
      <c r="C69" s="32" t="s">
        <v>32</v>
      </c>
      <c r="D69" t="s">
        <v>9</v>
      </c>
      <c r="E69">
        <v>2008</v>
      </c>
      <c r="F69">
        <v>8</v>
      </c>
      <c r="G69">
        <v>3577.47</v>
      </c>
      <c r="H69">
        <v>32046.799999999999</v>
      </c>
      <c r="I69">
        <v>18390</v>
      </c>
      <c r="J69" s="26">
        <v>311</v>
      </c>
      <c r="K69" s="26">
        <v>0</v>
      </c>
      <c r="L69">
        <v>36465.252</v>
      </c>
      <c r="M69">
        <v>0.1010128</v>
      </c>
      <c r="N69">
        <v>1.0270250000000001</v>
      </c>
      <c r="O69" s="32">
        <f t="shared" si="4"/>
        <v>-2.2925080374975173</v>
      </c>
      <c r="P69" s="32">
        <f t="shared" si="5"/>
        <v>2.6666273396003155E-2</v>
      </c>
      <c r="Q69" s="32">
        <f t="shared" si="6"/>
        <v>1.742620989668298</v>
      </c>
      <c r="R69" s="32">
        <f t="shared" si="7"/>
        <v>0.55539029577194621</v>
      </c>
    </row>
    <row r="70" spans="1:18">
      <c r="A70">
        <v>19840</v>
      </c>
      <c r="B70" t="s">
        <v>14</v>
      </c>
      <c r="C70" s="32" t="s">
        <v>32</v>
      </c>
      <c r="D70" t="s">
        <v>9</v>
      </c>
      <c r="E70">
        <v>2008</v>
      </c>
      <c r="F70">
        <v>9</v>
      </c>
      <c r="G70">
        <v>3046.93</v>
      </c>
      <c r="H70">
        <v>27044.5</v>
      </c>
      <c r="I70">
        <v>18376</v>
      </c>
      <c r="J70" s="26">
        <v>46</v>
      </c>
      <c r="K70" s="26">
        <v>53</v>
      </c>
      <c r="L70">
        <v>36465.252</v>
      </c>
      <c r="M70">
        <v>0.1019456</v>
      </c>
      <c r="N70">
        <v>1.0270250000000001</v>
      </c>
      <c r="O70" s="32">
        <f t="shared" si="4"/>
        <v>-2.2833159413040098</v>
      </c>
      <c r="P70" s="32">
        <f t="shared" si="5"/>
        <v>2.6666273396003155E-2</v>
      </c>
      <c r="Q70" s="32">
        <f t="shared" si="6"/>
        <v>1.4717294296909011</v>
      </c>
      <c r="R70" s="32">
        <f t="shared" si="7"/>
        <v>0.38643819206001767</v>
      </c>
    </row>
    <row r="71" spans="1:18">
      <c r="A71">
        <v>19840</v>
      </c>
      <c r="B71" t="s">
        <v>14</v>
      </c>
      <c r="C71" s="32" t="s">
        <v>32</v>
      </c>
      <c r="D71" t="s">
        <v>9</v>
      </c>
      <c r="E71">
        <v>2008</v>
      </c>
      <c r="F71">
        <v>10</v>
      </c>
      <c r="G71">
        <v>2205.04</v>
      </c>
      <c r="H71">
        <v>18799.599999999999</v>
      </c>
      <c r="I71">
        <v>18417</v>
      </c>
      <c r="J71" s="26">
        <v>0</v>
      </c>
      <c r="K71" s="26">
        <v>373</v>
      </c>
      <c r="L71">
        <v>36465.252</v>
      </c>
      <c r="M71">
        <v>0.10613359999999999</v>
      </c>
      <c r="N71">
        <v>1.0270250000000001</v>
      </c>
      <c r="O71" s="32">
        <f t="shared" si="4"/>
        <v>-2.2430566011203612</v>
      </c>
      <c r="P71" s="32">
        <f t="shared" si="5"/>
        <v>2.6666273396003155E-2</v>
      </c>
      <c r="Q71" s="32">
        <f t="shared" si="6"/>
        <v>1.0207742846283325</v>
      </c>
      <c r="R71" s="32">
        <f t="shared" si="7"/>
        <v>2.0561441900339893E-2</v>
      </c>
    </row>
    <row r="72" spans="1:18">
      <c r="A72">
        <v>19840</v>
      </c>
      <c r="B72" t="s">
        <v>14</v>
      </c>
      <c r="C72" s="32" t="s">
        <v>32</v>
      </c>
      <c r="D72" t="s">
        <v>9</v>
      </c>
      <c r="E72">
        <v>2008</v>
      </c>
      <c r="F72">
        <v>11</v>
      </c>
      <c r="G72">
        <v>2007.95</v>
      </c>
      <c r="H72">
        <v>16766</v>
      </c>
      <c r="I72">
        <v>18364</v>
      </c>
      <c r="J72" s="26">
        <v>0</v>
      </c>
      <c r="K72" s="26">
        <v>592</v>
      </c>
      <c r="L72">
        <v>36465.252</v>
      </c>
      <c r="M72">
        <v>0.1083698</v>
      </c>
      <c r="N72">
        <v>1.0270250000000001</v>
      </c>
      <c r="O72" s="32">
        <f t="shared" si="4"/>
        <v>-2.2222058265781417</v>
      </c>
      <c r="P72" s="32">
        <f t="shared" si="5"/>
        <v>2.6666273396003155E-2</v>
      </c>
      <c r="Q72" s="32">
        <f t="shared" si="6"/>
        <v>0.91298192115007626</v>
      </c>
      <c r="R72" s="32">
        <f t="shared" si="7"/>
        <v>-9.1039200171309953E-2</v>
      </c>
    </row>
    <row r="73" spans="1:18">
      <c r="A73">
        <v>19840</v>
      </c>
      <c r="B73" t="s">
        <v>14</v>
      </c>
      <c r="C73" s="32" t="s">
        <v>32</v>
      </c>
      <c r="D73" t="s">
        <v>9</v>
      </c>
      <c r="E73">
        <v>2008</v>
      </c>
      <c r="F73">
        <v>12</v>
      </c>
      <c r="G73">
        <v>2629.49</v>
      </c>
      <c r="H73">
        <v>22822.6</v>
      </c>
      <c r="I73">
        <v>18348</v>
      </c>
      <c r="J73" s="26">
        <v>0</v>
      </c>
      <c r="K73" s="26">
        <v>1153</v>
      </c>
      <c r="L73">
        <v>36465.252</v>
      </c>
      <c r="M73">
        <v>0.1042537</v>
      </c>
      <c r="N73">
        <v>1.0270250000000001</v>
      </c>
      <c r="O73" s="32">
        <f t="shared" si="4"/>
        <v>-2.2609279273263239</v>
      </c>
      <c r="P73" s="32">
        <f t="shared" si="5"/>
        <v>2.6666273396003155E-2</v>
      </c>
      <c r="Q73" s="32">
        <f t="shared" si="6"/>
        <v>1.2438739917157182</v>
      </c>
      <c r="R73" s="32">
        <f t="shared" si="7"/>
        <v>0.21823069635349829</v>
      </c>
    </row>
    <row r="74" spans="1:18">
      <c r="A74">
        <v>20332</v>
      </c>
      <c r="B74" t="s">
        <v>15</v>
      </c>
      <c r="C74" s="32" t="s">
        <v>33</v>
      </c>
      <c r="D74" t="s">
        <v>9</v>
      </c>
      <c r="E74">
        <v>2008</v>
      </c>
      <c r="F74">
        <v>1</v>
      </c>
      <c r="G74">
        <v>605</v>
      </c>
      <c r="H74">
        <v>7044</v>
      </c>
      <c r="I74">
        <v>4202</v>
      </c>
      <c r="J74" s="30">
        <v>0</v>
      </c>
      <c r="K74" s="30">
        <v>1371</v>
      </c>
      <c r="L74">
        <v>49849.115999999995</v>
      </c>
      <c r="M74">
        <v>7.7717900000000006E-2</v>
      </c>
      <c r="N74">
        <v>1.2251909999999999</v>
      </c>
      <c r="O74" s="32">
        <f t="shared" si="4"/>
        <v>-2.55466967491</v>
      </c>
      <c r="P74" s="32">
        <f t="shared" si="5"/>
        <v>0.20309675021003187</v>
      </c>
      <c r="Q74" s="32">
        <f t="shared" si="6"/>
        <v>1.6763445978105664</v>
      </c>
      <c r="R74" s="32">
        <f t="shared" si="7"/>
        <v>0.51661558821115106</v>
      </c>
    </row>
    <row r="75" spans="1:18">
      <c r="A75">
        <v>20332</v>
      </c>
      <c r="B75" t="s">
        <v>15</v>
      </c>
      <c r="C75" s="32" t="s">
        <v>33</v>
      </c>
      <c r="D75" t="s">
        <v>9</v>
      </c>
      <c r="E75">
        <v>2008</v>
      </c>
      <c r="F75">
        <v>2</v>
      </c>
      <c r="G75">
        <v>571</v>
      </c>
      <c r="H75">
        <v>7001</v>
      </c>
      <c r="I75">
        <v>4189</v>
      </c>
      <c r="J75" s="30">
        <v>0</v>
      </c>
      <c r="K75" s="30">
        <v>1129</v>
      </c>
      <c r="L75">
        <v>49849.115999999995</v>
      </c>
      <c r="M75">
        <v>7.38008E-2</v>
      </c>
      <c r="N75">
        <v>1.2251909999999999</v>
      </c>
      <c r="O75" s="32">
        <f t="shared" si="4"/>
        <v>-2.6063857073260626</v>
      </c>
      <c r="P75" s="32">
        <f t="shared" si="5"/>
        <v>0.20309675021003187</v>
      </c>
      <c r="Q75" s="32">
        <f t="shared" si="6"/>
        <v>1.6712819288613034</v>
      </c>
      <c r="R75" s="32">
        <f t="shared" si="7"/>
        <v>0.51359095403016275</v>
      </c>
    </row>
    <row r="76" spans="1:18">
      <c r="A76">
        <v>20332</v>
      </c>
      <c r="B76" t="s">
        <v>15</v>
      </c>
      <c r="C76" s="32" t="s">
        <v>33</v>
      </c>
      <c r="D76" t="s">
        <v>9</v>
      </c>
      <c r="E76">
        <v>2008</v>
      </c>
      <c r="F76">
        <v>3</v>
      </c>
      <c r="G76">
        <v>467</v>
      </c>
      <c r="H76">
        <v>5569</v>
      </c>
      <c r="I76">
        <v>4190</v>
      </c>
      <c r="J76" s="30">
        <v>0</v>
      </c>
      <c r="K76" s="30">
        <v>975</v>
      </c>
      <c r="L76">
        <v>49849.115999999995</v>
      </c>
      <c r="M76">
        <v>7.5879500000000003E-2</v>
      </c>
      <c r="N76">
        <v>1.2251909999999999</v>
      </c>
      <c r="O76" s="32">
        <f t="shared" si="4"/>
        <v>-2.5786087232886414</v>
      </c>
      <c r="P76" s="32">
        <f t="shared" si="5"/>
        <v>0.20309675021003187</v>
      </c>
      <c r="Q76" s="32">
        <f t="shared" si="6"/>
        <v>1.3291169451073985</v>
      </c>
      <c r="R76" s="32">
        <f t="shared" si="7"/>
        <v>0.28451477067348518</v>
      </c>
    </row>
    <row r="77" spans="1:18">
      <c r="A77">
        <v>20332</v>
      </c>
      <c r="B77" t="s">
        <v>15</v>
      </c>
      <c r="C77" s="32" t="s">
        <v>33</v>
      </c>
      <c r="D77" t="s">
        <v>9</v>
      </c>
      <c r="E77">
        <v>2008</v>
      </c>
      <c r="F77">
        <v>4</v>
      </c>
      <c r="G77">
        <v>411</v>
      </c>
      <c r="H77">
        <v>4719</v>
      </c>
      <c r="I77">
        <v>4188</v>
      </c>
      <c r="J77" s="30">
        <v>0</v>
      </c>
      <c r="K77" s="30">
        <v>789</v>
      </c>
      <c r="L77">
        <v>49849.115999999995</v>
      </c>
      <c r="M77">
        <v>7.8809199999999996E-2</v>
      </c>
      <c r="N77">
        <v>1.2251909999999999</v>
      </c>
      <c r="O77" s="32">
        <f t="shared" si="4"/>
        <v>-2.5407255376641671</v>
      </c>
      <c r="P77" s="32">
        <f t="shared" si="5"/>
        <v>0.20309675021003187</v>
      </c>
      <c r="Q77" s="32">
        <f t="shared" si="6"/>
        <v>1.1267908309455588</v>
      </c>
      <c r="R77" s="32">
        <f t="shared" si="7"/>
        <v>0.11937361973596006</v>
      </c>
    </row>
    <row r="78" spans="1:18">
      <c r="A78">
        <v>20332</v>
      </c>
      <c r="B78" t="s">
        <v>15</v>
      </c>
      <c r="C78" s="32" t="s">
        <v>33</v>
      </c>
      <c r="D78" t="s">
        <v>9</v>
      </c>
      <c r="E78">
        <v>2008</v>
      </c>
      <c r="F78">
        <v>5</v>
      </c>
      <c r="G78">
        <v>318</v>
      </c>
      <c r="H78">
        <v>3450</v>
      </c>
      <c r="I78">
        <v>4198</v>
      </c>
      <c r="J78" s="30">
        <v>5</v>
      </c>
      <c r="K78" s="30">
        <v>527</v>
      </c>
      <c r="L78">
        <v>49849.115999999995</v>
      </c>
      <c r="M78">
        <v>8.3405199999999999E-2</v>
      </c>
      <c r="N78">
        <v>1.2251909999999999</v>
      </c>
      <c r="O78" s="32">
        <f t="shared" si="4"/>
        <v>-2.4840446214412197</v>
      </c>
      <c r="P78" s="32">
        <f t="shared" si="5"/>
        <v>0.20309675021003187</v>
      </c>
      <c r="Q78" s="32">
        <f t="shared" si="6"/>
        <v>0.82181991424487855</v>
      </c>
      <c r="R78" s="32">
        <f t="shared" si="7"/>
        <v>-0.1962339903551728</v>
      </c>
    </row>
    <row r="79" spans="1:18">
      <c r="A79">
        <v>20332</v>
      </c>
      <c r="B79" t="s">
        <v>15</v>
      </c>
      <c r="C79" s="32" t="s">
        <v>33</v>
      </c>
      <c r="D79" t="s">
        <v>9</v>
      </c>
      <c r="E79">
        <v>2008</v>
      </c>
      <c r="F79">
        <v>6</v>
      </c>
      <c r="G79">
        <v>276</v>
      </c>
      <c r="H79">
        <v>2894</v>
      </c>
      <c r="I79">
        <v>4204</v>
      </c>
      <c r="J79" s="30">
        <v>46</v>
      </c>
      <c r="K79" s="30">
        <v>181</v>
      </c>
      <c r="L79">
        <v>49849.115999999995</v>
      </c>
      <c r="M79">
        <v>8.6296999999999999E-2</v>
      </c>
      <c r="N79">
        <v>1.2251909999999999</v>
      </c>
      <c r="O79" s="32">
        <f t="shared" si="4"/>
        <v>-2.4499604439535299</v>
      </c>
      <c r="P79" s="32">
        <f t="shared" si="5"/>
        <v>0.20309675021003187</v>
      </c>
      <c r="Q79" s="32">
        <f t="shared" si="6"/>
        <v>0.68839200761179831</v>
      </c>
      <c r="R79" s="32">
        <f t="shared" si="7"/>
        <v>-0.37339682480541253</v>
      </c>
    </row>
    <row r="80" spans="1:18">
      <c r="A80">
        <v>20332</v>
      </c>
      <c r="B80" t="s">
        <v>15</v>
      </c>
      <c r="C80" s="32" t="s">
        <v>33</v>
      </c>
      <c r="D80" t="s">
        <v>9</v>
      </c>
      <c r="E80">
        <v>2008</v>
      </c>
      <c r="F80">
        <v>7</v>
      </c>
      <c r="G80">
        <v>288</v>
      </c>
      <c r="H80">
        <v>3064</v>
      </c>
      <c r="I80">
        <v>4201</v>
      </c>
      <c r="J80" s="30">
        <v>178</v>
      </c>
      <c r="K80" s="30">
        <v>0</v>
      </c>
      <c r="L80">
        <v>49849.115999999995</v>
      </c>
      <c r="M80">
        <v>8.5052799999999998E-2</v>
      </c>
      <c r="N80">
        <v>1.2251909999999999</v>
      </c>
      <c r="O80" s="32">
        <f t="shared" si="4"/>
        <v>-2.4644830388714776</v>
      </c>
      <c r="P80" s="32">
        <f t="shared" si="5"/>
        <v>0.20309675021003187</v>
      </c>
      <c r="Q80" s="32">
        <f t="shared" si="6"/>
        <v>0.72935015472506548</v>
      </c>
      <c r="R80" s="32">
        <f t="shared" si="7"/>
        <v>-0.31560134030890014</v>
      </c>
    </row>
    <row r="81" spans="1:18">
      <c r="A81">
        <v>20332</v>
      </c>
      <c r="B81" t="s">
        <v>15</v>
      </c>
      <c r="C81" s="32" t="s">
        <v>33</v>
      </c>
      <c r="D81" t="s">
        <v>9</v>
      </c>
      <c r="E81">
        <v>2008</v>
      </c>
      <c r="F81">
        <v>8</v>
      </c>
      <c r="G81">
        <v>301</v>
      </c>
      <c r="H81">
        <v>3211</v>
      </c>
      <c r="I81">
        <v>4206</v>
      </c>
      <c r="J81" s="30">
        <v>145</v>
      </c>
      <c r="K81" s="30">
        <v>6</v>
      </c>
      <c r="L81">
        <v>49849.115999999995</v>
      </c>
      <c r="M81">
        <v>8.4822499999999995E-2</v>
      </c>
      <c r="N81">
        <v>1.2251909999999999</v>
      </c>
      <c r="O81" s="32">
        <f t="shared" si="4"/>
        <v>-2.46719444118943</v>
      </c>
      <c r="P81" s="32">
        <f t="shared" si="5"/>
        <v>0.20309675021003187</v>
      </c>
      <c r="Q81" s="32">
        <f t="shared" si="6"/>
        <v>0.76343319067998094</v>
      </c>
      <c r="R81" s="32">
        <f t="shared" si="7"/>
        <v>-0.26992966217313119</v>
      </c>
    </row>
    <row r="82" spans="1:18">
      <c r="A82">
        <v>20332</v>
      </c>
      <c r="B82" t="s">
        <v>15</v>
      </c>
      <c r="C82" s="32" t="s">
        <v>33</v>
      </c>
      <c r="D82" t="s">
        <v>9</v>
      </c>
      <c r="E82">
        <v>2008</v>
      </c>
      <c r="F82">
        <v>9</v>
      </c>
      <c r="G82">
        <v>284</v>
      </c>
      <c r="H82">
        <v>2999</v>
      </c>
      <c r="I82">
        <v>4204</v>
      </c>
      <c r="J82" s="30">
        <v>2</v>
      </c>
      <c r="K82" s="30">
        <v>168</v>
      </c>
      <c r="L82">
        <v>49849.115999999995</v>
      </c>
      <c r="M82">
        <v>8.5689399999999999E-2</v>
      </c>
      <c r="N82">
        <v>1.2251909999999999</v>
      </c>
      <c r="O82" s="32">
        <f t="shared" si="4"/>
        <v>-2.4570261483095193</v>
      </c>
      <c r="P82" s="32">
        <f t="shared" si="5"/>
        <v>0.20309675021003187</v>
      </c>
      <c r="Q82" s="32">
        <f t="shared" si="6"/>
        <v>0.71336822074215034</v>
      </c>
      <c r="R82" s="32">
        <f t="shared" si="7"/>
        <v>-0.33775755324783263</v>
      </c>
    </row>
    <row r="83" spans="1:18">
      <c r="A83">
        <v>20332</v>
      </c>
      <c r="B83" t="s">
        <v>15</v>
      </c>
      <c r="C83" s="32" t="s">
        <v>33</v>
      </c>
      <c r="D83" t="s">
        <v>9</v>
      </c>
      <c r="E83">
        <v>2008</v>
      </c>
      <c r="F83">
        <v>10</v>
      </c>
      <c r="G83">
        <v>303</v>
      </c>
      <c r="H83">
        <v>3259</v>
      </c>
      <c r="I83">
        <v>4196</v>
      </c>
      <c r="J83" s="30">
        <v>0</v>
      </c>
      <c r="K83" s="30">
        <v>486</v>
      </c>
      <c r="L83">
        <v>49849.115999999995</v>
      </c>
      <c r="M83">
        <v>8.4128499999999995E-2</v>
      </c>
      <c r="N83">
        <v>1.2251909999999999</v>
      </c>
      <c r="O83" s="32">
        <f t="shared" si="4"/>
        <v>-2.4754098871278698</v>
      </c>
      <c r="P83" s="32">
        <f t="shared" si="5"/>
        <v>0.20309675021003187</v>
      </c>
      <c r="Q83" s="32">
        <f t="shared" si="6"/>
        <v>0.77669208770257392</v>
      </c>
      <c r="R83" s="32">
        <f t="shared" si="7"/>
        <v>-0.25271129067862619</v>
      </c>
    </row>
    <row r="84" spans="1:18">
      <c r="A84">
        <v>20332</v>
      </c>
      <c r="B84" t="s">
        <v>15</v>
      </c>
      <c r="C84" s="32" t="s">
        <v>33</v>
      </c>
      <c r="D84" t="s">
        <v>9</v>
      </c>
      <c r="E84">
        <v>2008</v>
      </c>
      <c r="F84">
        <v>11</v>
      </c>
      <c r="G84">
        <v>333</v>
      </c>
      <c r="H84">
        <v>3666</v>
      </c>
      <c r="I84">
        <v>4204</v>
      </c>
      <c r="J84" s="30">
        <v>0</v>
      </c>
      <c r="K84" s="30">
        <v>724</v>
      </c>
      <c r="L84">
        <v>49849.115999999995</v>
      </c>
      <c r="M84">
        <v>8.21934E-2</v>
      </c>
      <c r="N84">
        <v>1.2251909999999999</v>
      </c>
      <c r="O84" s="32">
        <f t="shared" si="4"/>
        <v>-2.4986802721143784</v>
      </c>
      <c r="P84" s="32">
        <f t="shared" si="5"/>
        <v>0.20309675021003187</v>
      </c>
      <c r="Q84" s="32">
        <f t="shared" si="6"/>
        <v>0.87202664129400576</v>
      </c>
      <c r="R84" s="32">
        <f t="shared" si="7"/>
        <v>-0.13693530359719136</v>
      </c>
    </row>
    <row r="85" spans="1:18">
      <c r="A85">
        <v>20332</v>
      </c>
      <c r="B85" t="s">
        <v>15</v>
      </c>
      <c r="C85" s="32" t="s">
        <v>33</v>
      </c>
      <c r="D85" t="s">
        <v>9</v>
      </c>
      <c r="E85">
        <v>2008</v>
      </c>
      <c r="F85">
        <v>12</v>
      </c>
      <c r="G85">
        <v>450</v>
      </c>
      <c r="H85">
        <v>5260</v>
      </c>
      <c r="I85">
        <v>4212</v>
      </c>
      <c r="J85" s="30">
        <v>0</v>
      </c>
      <c r="K85" s="30">
        <v>1242</v>
      </c>
      <c r="L85">
        <v>49849.115999999995</v>
      </c>
      <c r="M85">
        <v>7.7412599999999998E-2</v>
      </c>
      <c r="N85">
        <v>1.2251909999999999</v>
      </c>
      <c r="O85" s="32">
        <f t="shared" si="4"/>
        <v>-2.5586057209377491</v>
      </c>
      <c r="P85" s="32">
        <f t="shared" si="5"/>
        <v>0.20309675021003187</v>
      </c>
      <c r="Q85" s="32">
        <f t="shared" si="6"/>
        <v>1.2488129154795822</v>
      </c>
      <c r="R85" s="32">
        <f t="shared" si="7"/>
        <v>0.22219343247788945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5"/>
  <sheetViews>
    <sheetView topLeftCell="F1" workbookViewId="0">
      <selection activeCell="T9" sqref="T9"/>
    </sheetView>
  </sheetViews>
  <sheetFormatPr defaultRowHeight="12.75"/>
  <cols>
    <col min="2" max="2" width="23.28515625" customWidth="1"/>
    <col min="3" max="3" width="9.140625" style="32"/>
  </cols>
  <sheetData>
    <row r="1" spans="1:18">
      <c r="A1" t="s">
        <v>16</v>
      </c>
      <c r="B1" t="s">
        <v>1</v>
      </c>
      <c r="C1" s="32" t="s">
        <v>26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2" t="s">
        <v>41</v>
      </c>
      <c r="K1" s="32" t="s">
        <v>42</v>
      </c>
      <c r="L1" s="32" t="s">
        <v>38</v>
      </c>
      <c r="M1" s="32" t="s">
        <v>24</v>
      </c>
      <c r="N1" s="32" t="s">
        <v>25</v>
      </c>
      <c r="O1" s="32" t="s">
        <v>37</v>
      </c>
      <c r="P1" s="32" t="s">
        <v>36</v>
      </c>
      <c r="Q1" s="32" t="s">
        <v>35</v>
      </c>
      <c r="R1" s="32" t="s">
        <v>40</v>
      </c>
    </row>
    <row r="2" spans="1:18">
      <c r="A2">
        <v>2008</v>
      </c>
      <c r="B2" t="s">
        <v>8</v>
      </c>
      <c r="C2" s="32" t="s">
        <v>27</v>
      </c>
      <c r="D2" t="s">
        <v>9</v>
      </c>
      <c r="E2">
        <v>2009</v>
      </c>
      <c r="F2">
        <v>1</v>
      </c>
      <c r="G2">
        <v>478.46100000000001</v>
      </c>
      <c r="H2">
        <v>8807.77</v>
      </c>
      <c r="I2">
        <v>6791</v>
      </c>
      <c r="J2" s="18">
        <v>0</v>
      </c>
      <c r="K2" s="18">
        <v>500</v>
      </c>
      <c r="L2">
        <v>48749.928</v>
      </c>
      <c r="M2">
        <v>4.9488400000000002E-2</v>
      </c>
      <c r="N2">
        <v>0.86400180000000004</v>
      </c>
      <c r="O2">
        <f>LN(M2)</f>
        <v>-3.0060169803045489</v>
      </c>
      <c r="P2">
        <f>LN(N2)</f>
        <v>-0.14618042684691818</v>
      </c>
      <c r="Q2">
        <f>H2/I2</f>
        <v>1.2969768811662494</v>
      </c>
      <c r="R2">
        <f>LN(Q2)</f>
        <v>0.26003608032289749</v>
      </c>
    </row>
    <row r="3" spans="1:18">
      <c r="A3">
        <v>2008</v>
      </c>
      <c r="B3" t="s">
        <v>8</v>
      </c>
      <c r="C3" s="32" t="s">
        <v>27</v>
      </c>
      <c r="D3" t="s">
        <v>9</v>
      </c>
      <c r="E3">
        <v>2009</v>
      </c>
      <c r="F3">
        <v>2</v>
      </c>
      <c r="G3">
        <v>417.149</v>
      </c>
      <c r="H3">
        <v>7628.09</v>
      </c>
      <c r="I3">
        <v>6830</v>
      </c>
      <c r="J3" s="18">
        <v>0</v>
      </c>
      <c r="K3" s="18">
        <v>414</v>
      </c>
      <c r="L3">
        <v>48749.928</v>
      </c>
      <c r="M3">
        <v>4.98194E-2</v>
      </c>
      <c r="N3">
        <v>0.86400180000000004</v>
      </c>
      <c r="O3" s="32">
        <f t="shared" ref="O3:O66" si="0">LN(M3)</f>
        <v>-2.9993508125767065</v>
      </c>
      <c r="P3" s="32">
        <f t="shared" ref="P3:P66" si="1">LN(N3)</f>
        <v>-0.14618042684691818</v>
      </c>
      <c r="Q3" s="32">
        <f t="shared" ref="Q3:Q66" si="2">H3/I3</f>
        <v>1.1168506588579796</v>
      </c>
      <c r="R3" s="32">
        <f t="shared" ref="R3:R66" si="3">LN(Q3)</f>
        <v>0.11051281272247268</v>
      </c>
    </row>
    <row r="4" spans="1:18">
      <c r="A4">
        <v>2008</v>
      </c>
      <c r="B4" t="s">
        <v>8</v>
      </c>
      <c r="C4" s="32" t="s">
        <v>27</v>
      </c>
      <c r="D4" t="s">
        <v>9</v>
      </c>
      <c r="E4">
        <v>2009</v>
      </c>
      <c r="F4">
        <v>3</v>
      </c>
      <c r="G4">
        <v>327.46499999999997</v>
      </c>
      <c r="H4">
        <v>6061.22</v>
      </c>
      <c r="I4">
        <v>6830</v>
      </c>
      <c r="J4" s="18">
        <v>12</v>
      </c>
      <c r="K4" s="18">
        <v>222</v>
      </c>
      <c r="L4">
        <v>48749.928</v>
      </c>
      <c r="M4">
        <v>4.9218400000000002E-2</v>
      </c>
      <c r="N4">
        <v>0.86400180000000004</v>
      </c>
      <c r="O4" s="32">
        <f t="shared" si="0"/>
        <v>-3.0114877416585255</v>
      </c>
      <c r="P4" s="32">
        <f t="shared" si="1"/>
        <v>-0.14618042684691818</v>
      </c>
      <c r="Q4" s="32">
        <f t="shared" si="2"/>
        <v>0.88744070278184484</v>
      </c>
      <c r="R4" s="32">
        <f t="shared" si="3"/>
        <v>-0.11941357363164073</v>
      </c>
    </row>
    <row r="5" spans="1:18">
      <c r="A5">
        <v>2008</v>
      </c>
      <c r="B5" t="s">
        <v>8</v>
      </c>
      <c r="C5" s="32" t="s">
        <v>27</v>
      </c>
      <c r="D5" t="s">
        <v>9</v>
      </c>
      <c r="E5">
        <v>2009</v>
      </c>
      <c r="F5">
        <v>4</v>
      </c>
      <c r="G5">
        <v>296.053</v>
      </c>
      <c r="H5">
        <v>5356</v>
      </c>
      <c r="I5">
        <v>6795</v>
      </c>
      <c r="J5" s="18">
        <v>81</v>
      </c>
      <c r="K5" s="18">
        <v>103</v>
      </c>
      <c r="L5">
        <v>48749.928</v>
      </c>
      <c r="M5">
        <v>5.0356100000000001E-2</v>
      </c>
      <c r="N5">
        <v>0.86400180000000004</v>
      </c>
      <c r="O5" s="32">
        <f t="shared" si="0"/>
        <v>-2.9886355152194239</v>
      </c>
      <c r="P5" s="32">
        <f t="shared" si="1"/>
        <v>-0.14618042684691818</v>
      </c>
      <c r="Q5" s="32">
        <f t="shared" si="2"/>
        <v>0.7882266372332597</v>
      </c>
      <c r="R5" s="32">
        <f t="shared" si="3"/>
        <v>-0.23796961977418102</v>
      </c>
    </row>
    <row r="6" spans="1:18">
      <c r="A6">
        <v>2008</v>
      </c>
      <c r="B6" t="s">
        <v>8</v>
      </c>
      <c r="C6" s="32" t="s">
        <v>27</v>
      </c>
      <c r="D6" t="s">
        <v>9</v>
      </c>
      <c r="E6">
        <v>2009</v>
      </c>
      <c r="F6">
        <v>5</v>
      </c>
      <c r="G6">
        <v>335.35300000000001</v>
      </c>
      <c r="H6">
        <v>6134.03</v>
      </c>
      <c r="I6">
        <v>6758</v>
      </c>
      <c r="J6" s="18">
        <v>521</v>
      </c>
      <c r="K6" s="18">
        <v>0</v>
      </c>
      <c r="L6">
        <v>48749.928</v>
      </c>
      <c r="M6">
        <v>4.9805700000000001E-2</v>
      </c>
      <c r="N6">
        <v>0.86400180000000004</v>
      </c>
      <c r="O6" s="32">
        <f t="shared" si="0"/>
        <v>-2.9996258436700023</v>
      </c>
      <c r="P6" s="32">
        <f t="shared" si="1"/>
        <v>-0.14618042684691818</v>
      </c>
      <c r="Q6" s="32">
        <f t="shared" si="2"/>
        <v>0.90766942882509616</v>
      </c>
      <c r="R6" s="32">
        <f t="shared" si="3"/>
        <v>-9.6875031839256137E-2</v>
      </c>
    </row>
    <row r="7" spans="1:18">
      <c r="A7">
        <v>2008</v>
      </c>
      <c r="B7" t="s">
        <v>8</v>
      </c>
      <c r="C7" s="32" t="s">
        <v>27</v>
      </c>
      <c r="D7" t="s">
        <v>9</v>
      </c>
      <c r="E7">
        <v>2009</v>
      </c>
      <c r="F7">
        <v>6</v>
      </c>
      <c r="G7">
        <v>483.35300000000001</v>
      </c>
      <c r="H7">
        <v>8947.41</v>
      </c>
      <c r="I7">
        <v>6761</v>
      </c>
      <c r="J7" s="18">
        <v>511</v>
      </c>
      <c r="K7" s="18">
        <v>0</v>
      </c>
      <c r="L7">
        <v>48749.928</v>
      </c>
      <c r="M7">
        <v>4.92142E-2</v>
      </c>
      <c r="N7">
        <v>0.86400180000000004</v>
      </c>
      <c r="O7" s="32">
        <f t="shared" si="0"/>
        <v>-3.0115730792398256</v>
      </c>
      <c r="P7" s="32">
        <f t="shared" si="1"/>
        <v>-0.14618042684691818</v>
      </c>
      <c r="Q7" s="32">
        <f t="shared" si="2"/>
        <v>1.323385593847064</v>
      </c>
      <c r="R7" s="32">
        <f t="shared" si="3"/>
        <v>0.2801932968233064</v>
      </c>
    </row>
    <row r="8" spans="1:18">
      <c r="A8">
        <v>2008</v>
      </c>
      <c r="B8" t="s">
        <v>19</v>
      </c>
      <c r="C8" s="32" t="s">
        <v>27</v>
      </c>
      <c r="D8" t="s">
        <v>9</v>
      </c>
      <c r="E8">
        <v>2009</v>
      </c>
      <c r="F8">
        <v>7</v>
      </c>
      <c r="G8">
        <v>603.14200000000005</v>
      </c>
      <c r="H8">
        <v>9791.6299999999992</v>
      </c>
      <c r="I8">
        <v>6709</v>
      </c>
      <c r="J8" s="18">
        <v>886</v>
      </c>
      <c r="K8" s="18">
        <v>0</v>
      </c>
      <c r="L8">
        <v>48749.928</v>
      </c>
      <c r="M8">
        <v>5.6116100000000002E-2</v>
      </c>
      <c r="N8">
        <v>0.86400180000000004</v>
      </c>
      <c r="O8" s="32">
        <f t="shared" si="0"/>
        <v>-2.8803325201042465</v>
      </c>
      <c r="P8" s="32">
        <f t="shared" si="1"/>
        <v>-0.14618042684691818</v>
      </c>
      <c r="Q8" s="32">
        <f t="shared" si="2"/>
        <v>1.4594768221791623</v>
      </c>
      <c r="R8" s="32">
        <f t="shared" si="3"/>
        <v>0.37807803052759992</v>
      </c>
    </row>
    <row r="9" spans="1:18">
      <c r="A9">
        <v>2008</v>
      </c>
      <c r="B9" t="s">
        <v>19</v>
      </c>
      <c r="C9" s="32" t="s">
        <v>27</v>
      </c>
      <c r="D9" t="s">
        <v>9</v>
      </c>
      <c r="E9">
        <v>2009</v>
      </c>
      <c r="F9">
        <v>8</v>
      </c>
      <c r="G9">
        <v>891.38499999999999</v>
      </c>
      <c r="H9">
        <v>14232.6</v>
      </c>
      <c r="I9">
        <v>6772</v>
      </c>
      <c r="J9" s="18">
        <v>744</v>
      </c>
      <c r="K9" s="18">
        <v>0</v>
      </c>
      <c r="L9">
        <v>48749.928</v>
      </c>
      <c r="M9">
        <v>5.70564E-2</v>
      </c>
      <c r="N9">
        <v>0.86400180000000004</v>
      </c>
      <c r="O9" s="32">
        <f t="shared" si="0"/>
        <v>-2.8637150266697842</v>
      </c>
      <c r="P9" s="32">
        <f t="shared" si="1"/>
        <v>-0.14618042684691818</v>
      </c>
      <c r="Q9" s="32">
        <f t="shared" si="2"/>
        <v>2.1016834022445363</v>
      </c>
      <c r="R9" s="32">
        <f t="shared" si="3"/>
        <v>0.74273864372002008</v>
      </c>
    </row>
    <row r="10" spans="1:18">
      <c r="A10">
        <v>2008</v>
      </c>
      <c r="B10" t="s">
        <v>19</v>
      </c>
      <c r="C10" s="32" t="s">
        <v>27</v>
      </c>
      <c r="D10" t="s">
        <v>9</v>
      </c>
      <c r="E10">
        <v>2009</v>
      </c>
      <c r="F10">
        <v>9</v>
      </c>
      <c r="G10">
        <v>852.05100000000004</v>
      </c>
      <c r="H10">
        <v>13787.6</v>
      </c>
      <c r="I10">
        <v>6809</v>
      </c>
      <c r="J10" s="18">
        <v>574</v>
      </c>
      <c r="K10" s="18">
        <v>0</v>
      </c>
      <c r="L10">
        <v>48749.928</v>
      </c>
      <c r="M10">
        <v>5.6298899999999999E-2</v>
      </c>
      <c r="N10">
        <v>0.86400180000000004</v>
      </c>
      <c r="O10" s="32">
        <f t="shared" si="0"/>
        <v>-2.8770802822156423</v>
      </c>
      <c r="P10" s="32">
        <f t="shared" si="1"/>
        <v>-0.14618042684691818</v>
      </c>
      <c r="Q10" s="32">
        <f t="shared" si="2"/>
        <v>2.0249082097224265</v>
      </c>
      <c r="R10" s="32">
        <f t="shared" si="3"/>
        <v>0.70552437099899845</v>
      </c>
    </row>
    <row r="11" spans="1:18">
      <c r="A11">
        <v>2008</v>
      </c>
      <c r="B11" t="s">
        <v>19</v>
      </c>
      <c r="C11" s="32" t="s">
        <v>27</v>
      </c>
      <c r="D11" t="s">
        <v>9</v>
      </c>
      <c r="E11">
        <v>2009</v>
      </c>
      <c r="F11">
        <v>10</v>
      </c>
      <c r="G11">
        <v>635.6</v>
      </c>
      <c r="H11">
        <v>10350.700000000001</v>
      </c>
      <c r="I11">
        <v>6794</v>
      </c>
      <c r="J11" s="18">
        <v>78</v>
      </c>
      <c r="K11" s="18">
        <v>81</v>
      </c>
      <c r="L11">
        <v>48749.928</v>
      </c>
      <c r="M11">
        <v>5.5941900000000003E-2</v>
      </c>
      <c r="N11">
        <v>0.86400180000000004</v>
      </c>
      <c r="O11" s="32">
        <f t="shared" si="0"/>
        <v>-2.8834416268226599</v>
      </c>
      <c r="P11" s="32">
        <f t="shared" si="1"/>
        <v>-0.14618042684691818</v>
      </c>
      <c r="Q11" s="32">
        <f t="shared" si="2"/>
        <v>1.5235060347365323</v>
      </c>
      <c r="R11" s="32">
        <f t="shared" si="3"/>
        <v>0.42101428053622941</v>
      </c>
    </row>
    <row r="12" spans="1:18">
      <c r="A12">
        <v>2008</v>
      </c>
      <c r="B12" t="s">
        <v>19</v>
      </c>
      <c r="C12" s="32" t="s">
        <v>27</v>
      </c>
      <c r="D12" t="s">
        <v>9</v>
      </c>
      <c r="E12">
        <v>2009</v>
      </c>
      <c r="F12">
        <v>11</v>
      </c>
      <c r="G12">
        <v>374.529</v>
      </c>
      <c r="H12">
        <v>6015.54</v>
      </c>
      <c r="I12">
        <v>6739</v>
      </c>
      <c r="J12" s="18">
        <v>9</v>
      </c>
      <c r="K12" s="18">
        <v>251</v>
      </c>
      <c r="L12">
        <v>48749.928</v>
      </c>
      <c r="M12">
        <v>5.6719699999999998E-2</v>
      </c>
      <c r="N12">
        <v>0.86400180000000004</v>
      </c>
      <c r="O12" s="32">
        <f t="shared" si="0"/>
        <v>-2.8696336859118858</v>
      </c>
      <c r="P12" s="32">
        <f t="shared" si="1"/>
        <v>-0.14618042684691818</v>
      </c>
      <c r="Q12" s="32">
        <f t="shared" si="2"/>
        <v>0.89264579314438341</v>
      </c>
      <c r="R12" s="32">
        <f t="shared" si="3"/>
        <v>-0.11356542500592504</v>
      </c>
    </row>
    <row r="13" spans="1:18">
      <c r="A13">
        <v>2008</v>
      </c>
      <c r="B13" t="s">
        <v>19</v>
      </c>
      <c r="C13" s="32" t="s">
        <v>27</v>
      </c>
      <c r="D13" t="s">
        <v>9</v>
      </c>
      <c r="E13">
        <v>2009</v>
      </c>
      <c r="F13">
        <v>12</v>
      </c>
      <c r="G13">
        <v>377.178</v>
      </c>
      <c r="H13">
        <v>6060.71</v>
      </c>
      <c r="I13">
        <v>6747</v>
      </c>
      <c r="J13" s="18">
        <v>0</v>
      </c>
      <c r="K13" s="18">
        <v>672</v>
      </c>
      <c r="L13">
        <v>48749.928</v>
      </c>
      <c r="M13">
        <v>5.6695200000000001E-2</v>
      </c>
      <c r="N13">
        <v>0.86400180000000004</v>
      </c>
      <c r="O13" s="32">
        <f t="shared" si="0"/>
        <v>-2.8700657279166153</v>
      </c>
      <c r="P13" s="32">
        <f t="shared" si="1"/>
        <v>-0.14618042684691818</v>
      </c>
      <c r="Q13" s="32">
        <f t="shared" si="2"/>
        <v>0.89828219949607235</v>
      </c>
      <c r="R13" s="32">
        <f t="shared" si="3"/>
        <v>-0.10727100671079143</v>
      </c>
    </row>
    <row r="14" spans="1:18">
      <c r="A14">
        <v>13073</v>
      </c>
      <c r="B14" t="s">
        <v>10</v>
      </c>
      <c r="C14" s="32" t="s">
        <v>28</v>
      </c>
      <c r="D14" t="s">
        <v>9</v>
      </c>
      <c r="E14">
        <v>2009</v>
      </c>
      <c r="F14">
        <v>1</v>
      </c>
      <c r="G14">
        <v>599.82000000000005</v>
      </c>
      <c r="H14">
        <v>9684.8700000000008</v>
      </c>
      <c r="I14">
        <v>4981</v>
      </c>
      <c r="J14" s="12">
        <v>0</v>
      </c>
      <c r="K14" s="12">
        <v>1220</v>
      </c>
      <c r="L14">
        <v>43785.864000000001</v>
      </c>
      <c r="M14">
        <v>5.6422199999999999E-2</v>
      </c>
      <c r="N14">
        <v>1.1542490000000001</v>
      </c>
      <c r="O14" s="32">
        <f t="shared" si="0"/>
        <v>-2.8748925809037047</v>
      </c>
      <c r="P14" s="32">
        <f t="shared" si="1"/>
        <v>0.14344991604114657</v>
      </c>
      <c r="Q14" s="32">
        <f t="shared" si="2"/>
        <v>1.9443625777956235</v>
      </c>
      <c r="R14" s="32">
        <f t="shared" si="3"/>
        <v>0.66493419985893409</v>
      </c>
    </row>
    <row r="15" spans="1:18">
      <c r="A15">
        <v>13073</v>
      </c>
      <c r="B15" t="s">
        <v>10</v>
      </c>
      <c r="C15" s="32" t="s">
        <v>28</v>
      </c>
      <c r="D15" t="s">
        <v>9</v>
      </c>
      <c r="E15">
        <v>2009</v>
      </c>
      <c r="F15">
        <v>2</v>
      </c>
      <c r="G15">
        <v>565.33500000000004</v>
      </c>
      <c r="H15">
        <v>8958.01</v>
      </c>
      <c r="I15">
        <v>4985</v>
      </c>
      <c r="J15" s="12">
        <v>0</v>
      </c>
      <c r="K15" s="12">
        <v>1046</v>
      </c>
      <c r="L15">
        <v>43785.864000000001</v>
      </c>
      <c r="M15">
        <v>5.7493299999999997E-2</v>
      </c>
      <c r="N15">
        <v>1.1542490000000001</v>
      </c>
      <c r="O15" s="32">
        <f t="shared" si="0"/>
        <v>-2.856086859707148</v>
      </c>
      <c r="P15" s="32">
        <f t="shared" si="1"/>
        <v>0.14344991604114657</v>
      </c>
      <c r="Q15" s="32">
        <f t="shared" si="2"/>
        <v>1.7969929789368104</v>
      </c>
      <c r="R15" s="32">
        <f t="shared" si="3"/>
        <v>0.5861147006912909</v>
      </c>
    </row>
    <row r="16" spans="1:18">
      <c r="A16">
        <v>13073</v>
      </c>
      <c r="B16" t="s">
        <v>10</v>
      </c>
      <c r="C16" s="32" t="s">
        <v>28</v>
      </c>
      <c r="D16" t="s">
        <v>9</v>
      </c>
      <c r="E16">
        <v>2009</v>
      </c>
      <c r="F16">
        <v>3</v>
      </c>
      <c r="G16">
        <v>513.79899999999998</v>
      </c>
      <c r="H16">
        <v>7939.54</v>
      </c>
      <c r="I16">
        <v>4983</v>
      </c>
      <c r="J16" s="12">
        <v>0</v>
      </c>
      <c r="K16" s="12">
        <v>912</v>
      </c>
      <c r="L16">
        <v>43785.864000000001</v>
      </c>
      <c r="M16">
        <v>5.8955E-2</v>
      </c>
      <c r="N16">
        <v>1.1542490000000001</v>
      </c>
      <c r="O16" s="32">
        <f t="shared" si="0"/>
        <v>-2.8309808379535002</v>
      </c>
      <c r="P16" s="32">
        <f t="shared" si="1"/>
        <v>0.14344991604114657</v>
      </c>
      <c r="Q16" s="32">
        <f t="shared" si="2"/>
        <v>1.5933253060405379</v>
      </c>
      <c r="R16" s="32">
        <f t="shared" si="3"/>
        <v>0.46582321977269231</v>
      </c>
    </row>
    <row r="17" spans="1:18">
      <c r="A17">
        <v>13073</v>
      </c>
      <c r="B17" t="s">
        <v>10</v>
      </c>
      <c r="C17" s="32" t="s">
        <v>28</v>
      </c>
      <c r="D17" t="s">
        <v>9</v>
      </c>
      <c r="E17">
        <v>2009</v>
      </c>
      <c r="F17">
        <v>4</v>
      </c>
      <c r="G17">
        <v>455.69499999999999</v>
      </c>
      <c r="H17">
        <v>6728.3</v>
      </c>
      <c r="I17">
        <v>4983</v>
      </c>
      <c r="J17" s="12">
        <v>0</v>
      </c>
      <c r="K17" s="12">
        <v>706</v>
      </c>
      <c r="L17">
        <v>43785.864000000001</v>
      </c>
      <c r="M17">
        <v>6.1700999999999999E-2</v>
      </c>
      <c r="N17">
        <v>1.1542490000000001</v>
      </c>
      <c r="O17" s="32">
        <f t="shared" si="0"/>
        <v>-2.7854551407467047</v>
      </c>
      <c r="P17" s="32">
        <f t="shared" si="1"/>
        <v>0.14344991604114657</v>
      </c>
      <c r="Q17" s="32">
        <f t="shared" si="2"/>
        <v>1.3502508528998596</v>
      </c>
      <c r="R17" s="32">
        <f t="shared" si="3"/>
        <v>0.30029039215136349</v>
      </c>
    </row>
    <row r="18" spans="1:18">
      <c r="A18">
        <v>13073</v>
      </c>
      <c r="B18" t="s">
        <v>10</v>
      </c>
      <c r="C18" s="32" t="s">
        <v>28</v>
      </c>
      <c r="D18" t="s">
        <v>9</v>
      </c>
      <c r="E18">
        <v>2009</v>
      </c>
      <c r="F18">
        <v>5</v>
      </c>
      <c r="G18">
        <v>387.65600000000001</v>
      </c>
      <c r="H18">
        <v>5318.89</v>
      </c>
      <c r="I18">
        <v>4993</v>
      </c>
      <c r="J18" s="12">
        <v>0</v>
      </c>
      <c r="K18" s="12">
        <v>328</v>
      </c>
      <c r="L18">
        <v>43785.864000000001</v>
      </c>
      <c r="M18">
        <v>6.6396999999999998E-2</v>
      </c>
      <c r="N18">
        <v>1.1542490000000001</v>
      </c>
      <c r="O18" s="32">
        <f t="shared" si="0"/>
        <v>-2.7121034042433201</v>
      </c>
      <c r="P18" s="32">
        <f t="shared" si="1"/>
        <v>0.14344991604114657</v>
      </c>
      <c r="Q18" s="32">
        <f t="shared" si="2"/>
        <v>1.0652693771279793</v>
      </c>
      <c r="R18" s="32">
        <f t="shared" si="3"/>
        <v>6.3227703448806086E-2</v>
      </c>
    </row>
    <row r="19" spans="1:18">
      <c r="A19">
        <v>13073</v>
      </c>
      <c r="B19" t="s">
        <v>10</v>
      </c>
      <c r="C19" s="32" t="s">
        <v>28</v>
      </c>
      <c r="D19" t="s">
        <v>9</v>
      </c>
      <c r="E19">
        <v>2009</v>
      </c>
      <c r="F19">
        <v>6</v>
      </c>
      <c r="G19">
        <v>289.37599999999998</v>
      </c>
      <c r="H19">
        <v>3472.7</v>
      </c>
      <c r="I19">
        <v>4994</v>
      </c>
      <c r="J19" s="12">
        <v>7</v>
      </c>
      <c r="K19" s="12">
        <v>266</v>
      </c>
      <c r="L19">
        <v>43785.864000000001</v>
      </c>
      <c r="M19">
        <v>7.5913400000000006E-2</v>
      </c>
      <c r="N19">
        <v>1.1542490000000001</v>
      </c>
      <c r="O19" s="32">
        <f t="shared" si="0"/>
        <v>-2.5781620620737411</v>
      </c>
      <c r="P19" s="32">
        <f t="shared" si="1"/>
        <v>0.14344991604114657</v>
      </c>
      <c r="Q19" s="32">
        <f t="shared" si="2"/>
        <v>0.695374449339207</v>
      </c>
      <c r="R19" s="32">
        <f t="shared" si="3"/>
        <v>-0.3633048024774021</v>
      </c>
    </row>
    <row r="20" spans="1:18">
      <c r="A20">
        <v>13073</v>
      </c>
      <c r="B20" t="s">
        <v>10</v>
      </c>
      <c r="C20" s="32" t="s">
        <v>28</v>
      </c>
      <c r="D20" t="s">
        <v>9</v>
      </c>
      <c r="E20">
        <v>2009</v>
      </c>
      <c r="F20">
        <v>7</v>
      </c>
      <c r="G20">
        <v>282.23399999999998</v>
      </c>
      <c r="H20">
        <v>3331.73</v>
      </c>
      <c r="I20">
        <v>4994</v>
      </c>
      <c r="J20" s="12">
        <v>78</v>
      </c>
      <c r="K20" s="12">
        <v>21</v>
      </c>
      <c r="L20">
        <v>43785.864000000001</v>
      </c>
      <c r="M20">
        <v>7.7172500000000005E-2</v>
      </c>
      <c r="N20">
        <v>1.1542490000000001</v>
      </c>
      <c r="O20" s="32">
        <f t="shared" si="0"/>
        <v>-2.5617121030285528</v>
      </c>
      <c r="P20" s="32">
        <f t="shared" si="1"/>
        <v>0.14344991604114657</v>
      </c>
      <c r="Q20" s="32">
        <f t="shared" si="2"/>
        <v>0.66714657589106929</v>
      </c>
      <c r="R20" s="32">
        <f t="shared" si="3"/>
        <v>-0.40474550324925374</v>
      </c>
    </row>
    <row r="21" spans="1:18">
      <c r="A21">
        <v>13073</v>
      </c>
      <c r="B21" t="s">
        <v>10</v>
      </c>
      <c r="C21" s="32" t="s">
        <v>28</v>
      </c>
      <c r="D21" t="s">
        <v>9</v>
      </c>
      <c r="E21">
        <v>2009</v>
      </c>
      <c r="F21">
        <v>8</v>
      </c>
      <c r="G21">
        <v>264.15600000000001</v>
      </c>
      <c r="H21">
        <v>3038.8</v>
      </c>
      <c r="I21">
        <v>4987</v>
      </c>
      <c r="J21" s="12">
        <v>30</v>
      </c>
      <c r="K21" s="12">
        <v>130</v>
      </c>
      <c r="L21">
        <v>43785.864000000001</v>
      </c>
      <c r="M21">
        <v>7.9191999999999999E-2</v>
      </c>
      <c r="N21">
        <v>1.1542490000000001</v>
      </c>
      <c r="O21" s="32">
        <f t="shared" si="0"/>
        <v>-2.5358799953646307</v>
      </c>
      <c r="P21" s="32">
        <f t="shared" si="1"/>
        <v>0.14344991604114657</v>
      </c>
      <c r="Q21" s="32">
        <f t="shared" si="2"/>
        <v>0.60934429516743538</v>
      </c>
      <c r="R21" s="32">
        <f t="shared" si="3"/>
        <v>-0.49537182591705592</v>
      </c>
    </row>
    <row r="22" spans="1:18">
      <c r="A22">
        <v>13073</v>
      </c>
      <c r="B22" t="s">
        <v>10</v>
      </c>
      <c r="C22" s="32" t="s">
        <v>28</v>
      </c>
      <c r="D22" t="s">
        <v>9</v>
      </c>
      <c r="E22">
        <v>2009</v>
      </c>
      <c r="F22">
        <v>9</v>
      </c>
      <c r="G22">
        <v>290.81</v>
      </c>
      <c r="H22">
        <v>3468.02</v>
      </c>
      <c r="I22">
        <v>4986</v>
      </c>
      <c r="J22" s="12">
        <v>5</v>
      </c>
      <c r="K22" s="12">
        <v>186</v>
      </c>
      <c r="L22">
        <v>43785.864000000001</v>
      </c>
      <c r="M22">
        <v>7.6392500000000002E-2</v>
      </c>
      <c r="N22">
        <v>1.1542490000000001</v>
      </c>
      <c r="O22" s="32">
        <f t="shared" si="0"/>
        <v>-2.5718707551676774</v>
      </c>
      <c r="P22" s="32">
        <f t="shared" si="1"/>
        <v>0.14344991604114657</v>
      </c>
      <c r="Q22" s="32">
        <f t="shared" si="2"/>
        <v>0.69555154432410748</v>
      </c>
      <c r="R22" s="32">
        <f t="shared" si="3"/>
        <v>-0.36305015918701244</v>
      </c>
    </row>
    <row r="23" spans="1:18">
      <c r="A23">
        <v>13073</v>
      </c>
      <c r="B23" t="s">
        <v>10</v>
      </c>
      <c r="C23" s="32" t="s">
        <v>28</v>
      </c>
      <c r="D23" t="s">
        <v>9</v>
      </c>
      <c r="E23">
        <v>2009</v>
      </c>
      <c r="F23">
        <v>10</v>
      </c>
      <c r="G23">
        <v>307.76100000000002</v>
      </c>
      <c r="H23">
        <v>3784.24</v>
      </c>
      <c r="I23">
        <v>4993</v>
      </c>
      <c r="J23" s="12">
        <v>0</v>
      </c>
      <c r="K23" s="12">
        <v>761</v>
      </c>
      <c r="L23">
        <v>43785.864000000001</v>
      </c>
      <c r="M23">
        <v>7.4089699999999994E-2</v>
      </c>
      <c r="N23">
        <v>1.1542490000000001</v>
      </c>
      <c r="O23" s="32">
        <f t="shared" si="0"/>
        <v>-2.6024787576912063</v>
      </c>
      <c r="P23" s="32">
        <f t="shared" si="1"/>
        <v>0.14344991604114657</v>
      </c>
      <c r="Q23" s="32">
        <f t="shared" si="2"/>
        <v>0.75790907270178243</v>
      </c>
      <c r="R23" s="32">
        <f t="shared" si="3"/>
        <v>-0.27719185739297153</v>
      </c>
    </row>
    <row r="24" spans="1:18">
      <c r="A24">
        <v>13073</v>
      </c>
      <c r="B24" t="s">
        <v>10</v>
      </c>
      <c r="C24" s="32" t="s">
        <v>28</v>
      </c>
      <c r="D24" t="s">
        <v>9</v>
      </c>
      <c r="E24">
        <v>2009</v>
      </c>
      <c r="F24">
        <v>11</v>
      </c>
      <c r="G24">
        <v>397.91800000000001</v>
      </c>
      <c r="H24">
        <v>5507.56</v>
      </c>
      <c r="I24">
        <v>4990</v>
      </c>
      <c r="J24" s="12">
        <v>0</v>
      </c>
      <c r="K24" s="12">
        <v>933</v>
      </c>
      <c r="L24">
        <v>43785.864000000001</v>
      </c>
      <c r="M24">
        <v>6.5819900000000001E-2</v>
      </c>
      <c r="N24">
        <v>1.1542490000000001</v>
      </c>
      <c r="O24" s="32">
        <f t="shared" si="0"/>
        <v>-2.7208330547631445</v>
      </c>
      <c r="P24" s="32">
        <f t="shared" si="1"/>
        <v>0.14344991604114657</v>
      </c>
      <c r="Q24" s="32">
        <f t="shared" si="2"/>
        <v>1.1037194388777556</v>
      </c>
      <c r="R24" s="32">
        <f t="shared" si="3"/>
        <v>9.8685784106726071E-2</v>
      </c>
    </row>
    <row r="25" spans="1:18">
      <c r="A25">
        <v>13073</v>
      </c>
      <c r="B25" t="s">
        <v>10</v>
      </c>
      <c r="C25" s="32" t="s">
        <v>28</v>
      </c>
      <c r="D25" t="s">
        <v>9</v>
      </c>
      <c r="E25">
        <v>2009</v>
      </c>
      <c r="F25">
        <v>12</v>
      </c>
      <c r="G25">
        <v>498.02100000000002</v>
      </c>
      <c r="H25">
        <v>7558.27</v>
      </c>
      <c r="I25">
        <v>4979</v>
      </c>
      <c r="J25" s="12">
        <v>0</v>
      </c>
      <c r="K25" s="12">
        <v>1502</v>
      </c>
      <c r="L25">
        <v>43785.864000000001</v>
      </c>
      <c r="M25">
        <v>6.0027200000000003E-2</v>
      </c>
      <c r="N25">
        <v>1.1542490000000001</v>
      </c>
      <c r="O25" s="32">
        <f t="shared" si="0"/>
        <v>-2.8129574861512139</v>
      </c>
      <c r="P25" s="32">
        <f t="shared" si="1"/>
        <v>0.14344991604114657</v>
      </c>
      <c r="Q25" s="32">
        <f t="shared" si="2"/>
        <v>1.5180297248443464</v>
      </c>
      <c r="R25" s="32">
        <f t="shared" si="3"/>
        <v>0.41741326036561238</v>
      </c>
    </row>
    <row r="26" spans="1:18">
      <c r="A26">
        <v>13407</v>
      </c>
      <c r="B26" t="s">
        <v>11</v>
      </c>
      <c r="C26" s="32" t="s">
        <v>29</v>
      </c>
      <c r="D26" t="s">
        <v>9</v>
      </c>
      <c r="E26">
        <v>2009</v>
      </c>
      <c r="F26">
        <v>1</v>
      </c>
      <c r="G26" s="32">
        <v>77096</v>
      </c>
      <c r="H26" s="32">
        <v>644826</v>
      </c>
      <c r="I26" s="32">
        <v>727892</v>
      </c>
      <c r="J26" s="17">
        <v>0</v>
      </c>
      <c r="K26" s="17">
        <v>427</v>
      </c>
      <c r="L26">
        <v>46402.248</v>
      </c>
      <c r="M26">
        <v>0.1089212</v>
      </c>
      <c r="N26">
        <v>0.86400180000000004</v>
      </c>
      <c r="O26" s="32">
        <f t="shared" si="0"/>
        <v>-2.217130593976893</v>
      </c>
      <c r="P26" s="32">
        <f t="shared" si="1"/>
        <v>-0.14618042684691818</v>
      </c>
      <c r="Q26" s="32">
        <f t="shared" si="2"/>
        <v>0.88588142196919328</v>
      </c>
      <c r="R26" s="32">
        <f t="shared" si="3"/>
        <v>-0.12117217258300975</v>
      </c>
    </row>
    <row r="27" spans="1:18">
      <c r="A27">
        <v>13407</v>
      </c>
      <c r="B27" t="s">
        <v>11</v>
      </c>
      <c r="C27" s="32" t="s">
        <v>29</v>
      </c>
      <c r="D27" t="s">
        <v>9</v>
      </c>
      <c r="E27">
        <v>2009</v>
      </c>
      <c r="F27">
        <v>2</v>
      </c>
      <c r="G27" s="32">
        <v>55118</v>
      </c>
      <c r="H27" s="32">
        <v>447091</v>
      </c>
      <c r="I27" s="32">
        <v>726729</v>
      </c>
      <c r="J27" s="17">
        <v>0</v>
      </c>
      <c r="K27" s="17">
        <v>361</v>
      </c>
      <c r="L27">
        <v>46402.248</v>
      </c>
      <c r="M27">
        <v>0.1123106</v>
      </c>
      <c r="N27">
        <v>0.86400180000000004</v>
      </c>
      <c r="O27" s="32">
        <f t="shared" si="0"/>
        <v>-2.1864870316654836</v>
      </c>
      <c r="P27" s="32">
        <f t="shared" si="1"/>
        <v>-0.14618042684691818</v>
      </c>
      <c r="Q27" s="32">
        <f t="shared" si="2"/>
        <v>0.61521007142965256</v>
      </c>
      <c r="R27" s="32">
        <f t="shared" si="3"/>
        <v>-0.4857914899402252</v>
      </c>
    </row>
    <row r="28" spans="1:18">
      <c r="A28">
        <v>13407</v>
      </c>
      <c r="B28" t="s">
        <v>11</v>
      </c>
      <c r="C28" s="32" t="s">
        <v>29</v>
      </c>
      <c r="D28" t="s">
        <v>9</v>
      </c>
      <c r="E28">
        <v>2009</v>
      </c>
      <c r="F28">
        <v>3</v>
      </c>
      <c r="G28" s="32">
        <v>59157</v>
      </c>
      <c r="H28" s="32">
        <v>473983</v>
      </c>
      <c r="I28" s="32">
        <v>726345</v>
      </c>
      <c r="J28" s="17">
        <v>24</v>
      </c>
      <c r="K28" s="17">
        <v>180</v>
      </c>
      <c r="L28">
        <v>46402.248</v>
      </c>
      <c r="M28">
        <v>0.1137016</v>
      </c>
      <c r="N28">
        <v>0.86400180000000004</v>
      </c>
      <c r="O28" s="32">
        <f t="shared" si="0"/>
        <v>-2.1741778062050452</v>
      </c>
      <c r="P28" s="32">
        <f t="shared" si="1"/>
        <v>-0.14618042684691818</v>
      </c>
      <c r="Q28" s="32">
        <f t="shared" si="2"/>
        <v>0.65255904563258504</v>
      </c>
      <c r="R28" s="32">
        <f t="shared" si="3"/>
        <v>-0.42685365248845258</v>
      </c>
    </row>
    <row r="29" spans="1:18">
      <c r="A29">
        <v>13407</v>
      </c>
      <c r="B29" t="s">
        <v>11</v>
      </c>
      <c r="C29" s="32" t="s">
        <v>29</v>
      </c>
      <c r="D29" t="s">
        <v>9</v>
      </c>
      <c r="E29">
        <v>2009</v>
      </c>
      <c r="F29">
        <v>4</v>
      </c>
      <c r="G29" s="32">
        <v>55379</v>
      </c>
      <c r="H29" s="32">
        <v>433560</v>
      </c>
      <c r="I29" s="32">
        <v>725376</v>
      </c>
      <c r="J29" s="17">
        <v>111</v>
      </c>
      <c r="K29" s="17">
        <v>77</v>
      </c>
      <c r="L29">
        <v>46402.248</v>
      </c>
      <c r="M29">
        <v>0.1163641</v>
      </c>
      <c r="N29">
        <v>0.86400180000000004</v>
      </c>
      <c r="O29" s="32">
        <f t="shared" si="0"/>
        <v>-2.1510312104997822</v>
      </c>
      <c r="P29" s="32">
        <f t="shared" si="1"/>
        <v>-0.14618042684691818</v>
      </c>
      <c r="Q29" s="32">
        <f t="shared" si="2"/>
        <v>0.59770381154049756</v>
      </c>
      <c r="R29" s="32">
        <f t="shared" si="3"/>
        <v>-0.51465994615955024</v>
      </c>
    </row>
    <row r="30" spans="1:18">
      <c r="A30">
        <v>13407</v>
      </c>
      <c r="B30" t="s">
        <v>11</v>
      </c>
      <c r="C30" s="32" t="s">
        <v>29</v>
      </c>
      <c r="D30" t="s">
        <v>9</v>
      </c>
      <c r="E30">
        <v>2009</v>
      </c>
      <c r="F30">
        <v>5</v>
      </c>
      <c r="G30" s="32">
        <v>93279</v>
      </c>
      <c r="H30" s="32">
        <v>767169</v>
      </c>
      <c r="I30" s="32">
        <v>724130</v>
      </c>
      <c r="J30" s="17">
        <v>583</v>
      </c>
      <c r="K30" s="17">
        <v>0</v>
      </c>
      <c r="L30">
        <v>46402.248</v>
      </c>
      <c r="M30">
        <v>0.1107684</v>
      </c>
      <c r="N30">
        <v>0.86400180000000004</v>
      </c>
      <c r="O30" s="32">
        <f t="shared" si="0"/>
        <v>-2.2003137439017526</v>
      </c>
      <c r="P30" s="32">
        <f t="shared" si="1"/>
        <v>-0.14618042684691818</v>
      </c>
      <c r="Q30" s="32">
        <f t="shared" si="2"/>
        <v>1.0594354604836149</v>
      </c>
      <c r="R30" s="32">
        <f t="shared" si="3"/>
        <v>5.7736181801082705E-2</v>
      </c>
    </row>
    <row r="31" spans="1:18">
      <c r="A31">
        <v>13407</v>
      </c>
      <c r="B31" t="s">
        <v>11</v>
      </c>
      <c r="C31" s="32" t="s">
        <v>29</v>
      </c>
      <c r="D31" t="s">
        <v>9</v>
      </c>
      <c r="E31">
        <v>2009</v>
      </c>
      <c r="F31">
        <v>6</v>
      </c>
      <c r="G31" s="32">
        <v>114898</v>
      </c>
      <c r="H31" s="32">
        <v>976436</v>
      </c>
      <c r="I31" s="32">
        <v>724340</v>
      </c>
      <c r="J31" s="17">
        <v>559</v>
      </c>
      <c r="K31" s="17">
        <v>0</v>
      </c>
      <c r="L31">
        <v>46402.248</v>
      </c>
      <c r="M31">
        <v>0.1071993</v>
      </c>
      <c r="N31">
        <v>0.86400180000000004</v>
      </c>
      <c r="O31" s="32">
        <f t="shared" si="0"/>
        <v>-2.2330655602175011</v>
      </c>
      <c r="P31" s="32">
        <f t="shared" si="1"/>
        <v>-0.14618042684691818</v>
      </c>
      <c r="Q31" s="32">
        <f t="shared" si="2"/>
        <v>1.3480354529640777</v>
      </c>
      <c r="R31" s="32">
        <f t="shared" si="3"/>
        <v>0.29864831256272062</v>
      </c>
    </row>
    <row r="32" spans="1:18">
      <c r="A32">
        <v>13407</v>
      </c>
      <c r="B32" t="s">
        <v>11</v>
      </c>
      <c r="C32" s="32" t="s">
        <v>29</v>
      </c>
      <c r="D32" t="s">
        <v>9</v>
      </c>
      <c r="E32">
        <v>2009</v>
      </c>
      <c r="F32">
        <v>7</v>
      </c>
      <c r="G32" s="32">
        <v>175356</v>
      </c>
      <c r="H32" s="32">
        <v>1364877</v>
      </c>
      <c r="I32" s="32">
        <v>724390</v>
      </c>
      <c r="J32" s="17">
        <v>927</v>
      </c>
      <c r="K32" s="17">
        <v>0</v>
      </c>
      <c r="L32">
        <v>46402.248</v>
      </c>
      <c r="M32">
        <v>0.1170443</v>
      </c>
      <c r="N32">
        <v>0.86400180000000004</v>
      </c>
      <c r="O32" s="32">
        <f t="shared" si="0"/>
        <v>-2.1452027833689367</v>
      </c>
      <c r="P32" s="32">
        <f t="shared" si="1"/>
        <v>-0.14618042684691818</v>
      </c>
      <c r="Q32" s="32">
        <f t="shared" si="2"/>
        <v>1.8841742707657478</v>
      </c>
      <c r="R32" s="32">
        <f t="shared" si="3"/>
        <v>0.63348967228272046</v>
      </c>
    </row>
    <row r="33" spans="1:18">
      <c r="A33">
        <v>13407</v>
      </c>
      <c r="B33" t="s">
        <v>11</v>
      </c>
      <c r="C33" s="32" t="s">
        <v>29</v>
      </c>
      <c r="D33" t="s">
        <v>9</v>
      </c>
      <c r="E33">
        <v>2009</v>
      </c>
      <c r="F33">
        <v>8</v>
      </c>
      <c r="G33" s="32">
        <v>174004</v>
      </c>
      <c r="H33" s="32">
        <v>1308609</v>
      </c>
      <c r="I33" s="32">
        <v>726773</v>
      </c>
      <c r="J33" s="17">
        <v>799</v>
      </c>
      <c r="K33" s="17">
        <v>0</v>
      </c>
      <c r="L33">
        <v>46402.248</v>
      </c>
      <c r="M33">
        <v>0.1211358</v>
      </c>
      <c r="N33">
        <v>0.86400180000000004</v>
      </c>
      <c r="O33" s="32">
        <f t="shared" si="0"/>
        <v>-2.1108430486594005</v>
      </c>
      <c r="P33" s="32">
        <f t="shared" si="1"/>
        <v>-0.14618042684691818</v>
      </c>
      <c r="Q33" s="32">
        <f t="shared" si="2"/>
        <v>1.8005745948184646</v>
      </c>
      <c r="R33" s="32">
        <f t="shared" si="3"/>
        <v>0.58810583330605615</v>
      </c>
    </row>
    <row r="34" spans="1:18">
      <c r="A34">
        <v>13407</v>
      </c>
      <c r="B34" t="s">
        <v>11</v>
      </c>
      <c r="C34" s="32" t="s">
        <v>29</v>
      </c>
      <c r="D34" t="s">
        <v>9</v>
      </c>
      <c r="E34">
        <v>2009</v>
      </c>
      <c r="F34">
        <v>9</v>
      </c>
      <c r="G34" s="32">
        <v>135201</v>
      </c>
      <c r="H34" s="32">
        <v>1008913</v>
      </c>
      <c r="I34" s="32">
        <v>725614</v>
      </c>
      <c r="J34" s="17">
        <v>641</v>
      </c>
      <c r="K34" s="17">
        <v>0</v>
      </c>
      <c r="L34">
        <v>46402.248</v>
      </c>
      <c r="M34">
        <v>0.1220813</v>
      </c>
      <c r="N34">
        <v>0.86400180000000004</v>
      </c>
      <c r="O34" s="32">
        <f t="shared" si="0"/>
        <v>-2.1030680627477731</v>
      </c>
      <c r="P34" s="32">
        <f t="shared" si="1"/>
        <v>-0.14618042684691818</v>
      </c>
      <c r="Q34" s="32">
        <f t="shared" si="2"/>
        <v>1.3904265904461601</v>
      </c>
      <c r="R34" s="32">
        <f t="shared" si="3"/>
        <v>0.32961059966010486</v>
      </c>
    </row>
    <row r="35" spans="1:18">
      <c r="A35">
        <v>13407</v>
      </c>
      <c r="B35" t="s">
        <v>11</v>
      </c>
      <c r="C35" s="32" t="s">
        <v>29</v>
      </c>
      <c r="D35" t="s">
        <v>9</v>
      </c>
      <c r="E35">
        <v>2009</v>
      </c>
      <c r="F35">
        <v>10</v>
      </c>
      <c r="G35" s="32">
        <v>73061</v>
      </c>
      <c r="H35" s="32">
        <v>520946</v>
      </c>
      <c r="I35" s="32">
        <v>725611</v>
      </c>
      <c r="J35" s="17">
        <v>122</v>
      </c>
      <c r="K35" s="17">
        <v>53</v>
      </c>
      <c r="L35">
        <v>46402.248</v>
      </c>
      <c r="M35">
        <v>0.1277662</v>
      </c>
      <c r="N35">
        <v>0.86400180000000004</v>
      </c>
      <c r="O35" s="32">
        <f t="shared" si="0"/>
        <v>-2.0575532477619287</v>
      </c>
      <c r="P35" s="32">
        <f t="shared" si="1"/>
        <v>-0.14618042684691818</v>
      </c>
      <c r="Q35" s="32">
        <f t="shared" si="2"/>
        <v>0.71794115579835471</v>
      </c>
      <c r="R35" s="32">
        <f t="shared" si="3"/>
        <v>-0.3313676690050637</v>
      </c>
    </row>
    <row r="36" spans="1:18">
      <c r="A36">
        <v>13407</v>
      </c>
      <c r="B36" t="s">
        <v>11</v>
      </c>
      <c r="C36" s="32" t="s">
        <v>29</v>
      </c>
      <c r="D36" t="s">
        <v>9</v>
      </c>
      <c r="E36">
        <v>2009</v>
      </c>
      <c r="F36">
        <v>11</v>
      </c>
      <c r="G36" s="32">
        <v>52637</v>
      </c>
      <c r="H36" s="32">
        <v>362813</v>
      </c>
      <c r="I36" s="32">
        <v>721993</v>
      </c>
      <c r="J36" s="17">
        <v>24</v>
      </c>
      <c r="K36" s="17">
        <v>192</v>
      </c>
      <c r="L36">
        <v>46402.248</v>
      </c>
      <c r="M36">
        <v>0.1321695</v>
      </c>
      <c r="N36">
        <v>0.86400180000000004</v>
      </c>
      <c r="O36" s="32">
        <f t="shared" si="0"/>
        <v>-2.0236700892263109</v>
      </c>
      <c r="P36" s="32">
        <f t="shared" si="1"/>
        <v>-0.14618042684691818</v>
      </c>
      <c r="Q36" s="32">
        <f t="shared" si="2"/>
        <v>0.50251595237072932</v>
      </c>
      <c r="R36" s="32">
        <f t="shared" si="3"/>
        <v>-0.68812789354139858</v>
      </c>
    </row>
    <row r="37" spans="1:18">
      <c r="A37">
        <v>13407</v>
      </c>
      <c r="B37" t="s">
        <v>11</v>
      </c>
      <c r="C37" s="32" t="s">
        <v>29</v>
      </c>
      <c r="D37" t="s">
        <v>9</v>
      </c>
      <c r="E37">
        <v>2009</v>
      </c>
      <c r="F37">
        <v>12</v>
      </c>
      <c r="G37" s="32">
        <v>78650</v>
      </c>
      <c r="H37" s="32">
        <v>584319</v>
      </c>
      <c r="I37" s="32">
        <v>726174</v>
      </c>
      <c r="J37" s="17">
        <v>0</v>
      </c>
      <c r="K37" s="17">
        <v>599</v>
      </c>
      <c r="L37">
        <v>46402.248</v>
      </c>
      <c r="M37">
        <v>0.122623</v>
      </c>
      <c r="N37">
        <v>0.86400180000000004</v>
      </c>
      <c r="O37" s="32">
        <f t="shared" si="0"/>
        <v>-2.098640671117487</v>
      </c>
      <c r="P37" s="32">
        <f t="shared" si="1"/>
        <v>-0.14618042684691818</v>
      </c>
      <c r="Q37" s="32">
        <f t="shared" si="2"/>
        <v>0.80465425641788335</v>
      </c>
      <c r="R37" s="32">
        <f t="shared" si="3"/>
        <v>-0.2173425889560901</v>
      </c>
    </row>
    <row r="38" spans="1:18">
      <c r="A38">
        <v>22814</v>
      </c>
      <c r="B38" t="s">
        <v>12</v>
      </c>
      <c r="C38" s="32" t="s">
        <v>30</v>
      </c>
      <c r="D38" t="s">
        <v>9</v>
      </c>
      <c r="E38">
        <v>2009</v>
      </c>
      <c r="F38">
        <v>1</v>
      </c>
      <c r="G38">
        <v>148</v>
      </c>
      <c r="H38">
        <v>1888</v>
      </c>
      <c r="I38">
        <v>1439</v>
      </c>
      <c r="J38" s="18">
        <v>0</v>
      </c>
      <c r="K38" s="18">
        <v>1136</v>
      </c>
      <c r="L38">
        <v>56565.515999999996</v>
      </c>
      <c r="M38">
        <v>7.1413900000000002E-2</v>
      </c>
      <c r="N38">
        <v>1.1542490000000001</v>
      </c>
      <c r="O38" s="32">
        <f t="shared" si="0"/>
        <v>-2.6392627507127275</v>
      </c>
      <c r="P38" s="32">
        <f t="shared" si="1"/>
        <v>0.14344991604114657</v>
      </c>
      <c r="Q38" s="32">
        <f t="shared" si="2"/>
        <v>1.3120222376650452</v>
      </c>
      <c r="R38" s="32">
        <f t="shared" si="3"/>
        <v>0.27156963981807825</v>
      </c>
    </row>
    <row r="39" spans="1:18">
      <c r="A39">
        <v>22814</v>
      </c>
      <c r="B39" t="s">
        <v>12</v>
      </c>
      <c r="C39" s="32" t="s">
        <v>30</v>
      </c>
      <c r="D39" t="s">
        <v>9</v>
      </c>
      <c r="E39">
        <v>2009</v>
      </c>
      <c r="F39">
        <v>2</v>
      </c>
      <c r="G39">
        <v>151</v>
      </c>
      <c r="H39">
        <v>1899</v>
      </c>
      <c r="I39">
        <v>1441</v>
      </c>
      <c r="J39" s="18">
        <v>0</v>
      </c>
      <c r="K39" s="18">
        <v>915</v>
      </c>
      <c r="L39">
        <v>56565.515999999996</v>
      </c>
      <c r="M39">
        <v>7.2439400000000001E-2</v>
      </c>
      <c r="N39">
        <v>1.1542490000000001</v>
      </c>
      <c r="O39" s="32">
        <f t="shared" si="0"/>
        <v>-2.6250049287179573</v>
      </c>
      <c r="P39" s="32">
        <f t="shared" si="1"/>
        <v>0.14344991604114657</v>
      </c>
      <c r="Q39" s="32">
        <f t="shared" si="2"/>
        <v>1.3178348369188064</v>
      </c>
      <c r="R39" s="32">
        <f t="shared" si="3"/>
        <v>0.27599011481276381</v>
      </c>
    </row>
    <row r="40" spans="1:18">
      <c r="A40">
        <v>22814</v>
      </c>
      <c r="B40" t="s">
        <v>12</v>
      </c>
      <c r="C40" s="32" t="s">
        <v>30</v>
      </c>
      <c r="D40" t="s">
        <v>9</v>
      </c>
      <c r="E40">
        <v>2009</v>
      </c>
      <c r="F40">
        <v>3</v>
      </c>
      <c r="G40">
        <v>131</v>
      </c>
      <c r="H40">
        <v>1650</v>
      </c>
      <c r="I40">
        <v>1442</v>
      </c>
      <c r="J40" s="18">
        <v>0</v>
      </c>
      <c r="K40" s="18">
        <v>831</v>
      </c>
      <c r="L40">
        <v>56565.515999999996</v>
      </c>
      <c r="M40">
        <v>7.2328699999999996E-2</v>
      </c>
      <c r="N40">
        <v>1.1542490000000001</v>
      </c>
      <c r="O40" s="32">
        <f t="shared" si="0"/>
        <v>-2.6265342714609545</v>
      </c>
      <c r="P40" s="32">
        <f t="shared" si="1"/>
        <v>0.14344991604114657</v>
      </c>
      <c r="Q40" s="32">
        <f t="shared" si="2"/>
        <v>1.1442441054091539</v>
      </c>
      <c r="R40" s="32">
        <f t="shared" si="3"/>
        <v>0.13474424904973184</v>
      </c>
    </row>
    <row r="41" spans="1:18">
      <c r="A41">
        <v>22814</v>
      </c>
      <c r="B41" t="s">
        <v>12</v>
      </c>
      <c r="C41" s="32" t="s">
        <v>30</v>
      </c>
      <c r="D41" t="s">
        <v>9</v>
      </c>
      <c r="E41">
        <v>2009</v>
      </c>
      <c r="F41">
        <v>4</v>
      </c>
      <c r="G41">
        <v>117</v>
      </c>
      <c r="H41">
        <v>1450</v>
      </c>
      <c r="I41">
        <v>1442</v>
      </c>
      <c r="J41" s="18">
        <v>0</v>
      </c>
      <c r="K41" s="18">
        <v>615</v>
      </c>
      <c r="L41">
        <v>56565.515999999996</v>
      </c>
      <c r="M41">
        <v>7.3509099999999994E-2</v>
      </c>
      <c r="N41">
        <v>1.1542490000000001</v>
      </c>
      <c r="O41" s="32">
        <f t="shared" si="0"/>
        <v>-2.6103460709033031</v>
      </c>
      <c r="P41" s="32">
        <f t="shared" si="1"/>
        <v>0.14344991604114657</v>
      </c>
      <c r="Q41" s="32">
        <f t="shared" si="2"/>
        <v>1.0055478502080444</v>
      </c>
      <c r="R41" s="32">
        <f t="shared" si="3"/>
        <v>5.5325175697256979E-3</v>
      </c>
    </row>
    <row r="42" spans="1:18">
      <c r="A42">
        <v>22814</v>
      </c>
      <c r="B42" t="s">
        <v>12</v>
      </c>
      <c r="C42" s="32" t="s">
        <v>30</v>
      </c>
      <c r="D42" t="s">
        <v>9</v>
      </c>
      <c r="E42">
        <v>2009</v>
      </c>
      <c r="F42">
        <v>5</v>
      </c>
      <c r="G42">
        <v>80</v>
      </c>
      <c r="H42">
        <v>952</v>
      </c>
      <c r="I42">
        <v>1444</v>
      </c>
      <c r="J42" s="18">
        <v>6</v>
      </c>
      <c r="K42" s="18">
        <v>239</v>
      </c>
      <c r="L42">
        <v>56565.515999999996</v>
      </c>
      <c r="M42">
        <v>7.6555499999999999E-2</v>
      </c>
      <c r="N42">
        <v>1.1542490000000001</v>
      </c>
      <c r="O42" s="32">
        <f t="shared" si="0"/>
        <v>-2.569739310994366</v>
      </c>
      <c r="P42" s="32">
        <f t="shared" si="1"/>
        <v>0.14344991604114657</v>
      </c>
      <c r="Q42" s="32">
        <f t="shared" si="2"/>
        <v>0.65927977839335183</v>
      </c>
      <c r="R42" s="32">
        <f t="shared" si="3"/>
        <v>-0.41660728466140617</v>
      </c>
    </row>
    <row r="43" spans="1:18">
      <c r="A43">
        <v>22814</v>
      </c>
      <c r="B43" t="s">
        <v>12</v>
      </c>
      <c r="C43" s="32" t="s">
        <v>30</v>
      </c>
      <c r="D43" t="s">
        <v>9</v>
      </c>
      <c r="E43">
        <v>2009</v>
      </c>
      <c r="F43">
        <v>6</v>
      </c>
      <c r="G43">
        <v>70</v>
      </c>
      <c r="H43">
        <v>817</v>
      </c>
      <c r="I43">
        <v>1444</v>
      </c>
      <c r="J43" s="18">
        <v>39</v>
      </c>
      <c r="K43" s="18">
        <v>130</v>
      </c>
      <c r="L43">
        <v>56565.515999999996</v>
      </c>
      <c r="M43">
        <v>7.8054700000000005E-2</v>
      </c>
      <c r="N43">
        <v>1.1542490000000001</v>
      </c>
      <c r="O43" s="32">
        <f t="shared" si="0"/>
        <v>-2.5503454160246188</v>
      </c>
      <c r="P43" s="32">
        <f t="shared" si="1"/>
        <v>0.14344991604114657</v>
      </c>
      <c r="Q43" s="32">
        <f t="shared" si="2"/>
        <v>0.56578947368421051</v>
      </c>
      <c r="R43" s="32">
        <f t="shared" si="3"/>
        <v>-0.56953322459276867</v>
      </c>
    </row>
    <row r="44" spans="1:18">
      <c r="A44">
        <v>22814</v>
      </c>
      <c r="B44" t="s">
        <v>12</v>
      </c>
      <c r="C44" s="32" t="s">
        <v>30</v>
      </c>
      <c r="D44" t="s">
        <v>9</v>
      </c>
      <c r="E44">
        <v>2009</v>
      </c>
      <c r="F44">
        <v>7</v>
      </c>
      <c r="G44">
        <v>77</v>
      </c>
      <c r="H44">
        <v>916</v>
      </c>
      <c r="I44">
        <v>1444</v>
      </c>
      <c r="J44" s="18">
        <v>217</v>
      </c>
      <c r="K44" s="18">
        <v>7</v>
      </c>
      <c r="L44">
        <v>56565.515999999996</v>
      </c>
      <c r="M44">
        <v>7.6580499999999996E-2</v>
      </c>
      <c r="N44">
        <v>1.1542490000000001</v>
      </c>
      <c r="O44" s="32">
        <f t="shared" si="0"/>
        <v>-2.5694128038344286</v>
      </c>
      <c r="P44" s="32">
        <f t="shared" si="1"/>
        <v>0.14344991604114657</v>
      </c>
      <c r="Q44" s="32">
        <f t="shared" si="2"/>
        <v>0.63434903047091418</v>
      </c>
      <c r="R44" s="32">
        <f t="shared" si="3"/>
        <v>-0.45515595477864118</v>
      </c>
    </row>
    <row r="45" spans="1:18">
      <c r="A45">
        <v>22814</v>
      </c>
      <c r="B45" t="s">
        <v>12</v>
      </c>
      <c r="C45" s="32" t="s">
        <v>30</v>
      </c>
      <c r="D45" t="s">
        <v>9</v>
      </c>
      <c r="E45">
        <v>2009</v>
      </c>
      <c r="F45">
        <v>8</v>
      </c>
      <c r="G45">
        <v>63</v>
      </c>
      <c r="H45">
        <v>747</v>
      </c>
      <c r="I45">
        <v>1445</v>
      </c>
      <c r="J45" s="18">
        <v>134</v>
      </c>
      <c r="K45" s="18">
        <v>47</v>
      </c>
      <c r="L45">
        <v>56565.515999999996</v>
      </c>
      <c r="M45">
        <v>7.6832200000000003E-2</v>
      </c>
      <c r="N45">
        <v>1.1542490000000001</v>
      </c>
      <c r="O45" s="32">
        <f t="shared" si="0"/>
        <v>-2.5661314558646331</v>
      </c>
      <c r="P45" s="32">
        <f t="shared" si="1"/>
        <v>0.14344991604114657</v>
      </c>
      <c r="Q45" s="32">
        <f t="shared" si="2"/>
        <v>0.5169550173010381</v>
      </c>
      <c r="R45" s="32">
        <f t="shared" si="3"/>
        <v>-0.65979941541371512</v>
      </c>
    </row>
    <row r="46" spans="1:18">
      <c r="A46">
        <v>22814</v>
      </c>
      <c r="B46" t="s">
        <v>12</v>
      </c>
      <c r="C46" s="32" t="s">
        <v>30</v>
      </c>
      <c r="D46" t="s">
        <v>9</v>
      </c>
      <c r="E46">
        <v>2009</v>
      </c>
      <c r="F46">
        <v>9</v>
      </c>
      <c r="G46">
        <v>71</v>
      </c>
      <c r="H46">
        <v>841</v>
      </c>
      <c r="I46">
        <v>1447</v>
      </c>
      <c r="J46" s="18">
        <v>51</v>
      </c>
      <c r="K46" s="18">
        <v>82</v>
      </c>
      <c r="L46">
        <v>56565.515999999996</v>
      </c>
      <c r="M46">
        <v>7.6910500000000007E-2</v>
      </c>
      <c r="N46">
        <v>1.1542490000000001</v>
      </c>
      <c r="O46" s="32">
        <f t="shared" si="0"/>
        <v>-2.5651128708291187</v>
      </c>
      <c r="P46" s="32">
        <f t="shared" si="1"/>
        <v>0.14344991604114657</v>
      </c>
      <c r="Q46" s="32">
        <f t="shared" si="2"/>
        <v>0.58120248790601248</v>
      </c>
      <c r="R46" s="32">
        <f t="shared" si="3"/>
        <v>-0.54265606665853572</v>
      </c>
    </row>
    <row r="47" spans="1:18">
      <c r="A47">
        <v>22814</v>
      </c>
      <c r="B47" t="s">
        <v>12</v>
      </c>
      <c r="C47" s="32" t="s">
        <v>30</v>
      </c>
      <c r="D47" t="s">
        <v>9</v>
      </c>
      <c r="E47">
        <v>2009</v>
      </c>
      <c r="F47">
        <v>10</v>
      </c>
      <c r="G47">
        <v>97</v>
      </c>
      <c r="H47">
        <v>1209</v>
      </c>
      <c r="I47">
        <v>1449</v>
      </c>
      <c r="J47" s="18">
        <v>0</v>
      </c>
      <c r="K47" s="18">
        <v>655</v>
      </c>
      <c r="L47">
        <v>56565.515999999996</v>
      </c>
      <c r="M47">
        <v>7.3091799999999998E-2</v>
      </c>
      <c r="N47">
        <v>1.1542490000000001</v>
      </c>
      <c r="O47" s="32">
        <f t="shared" si="0"/>
        <v>-2.6160390936211009</v>
      </c>
      <c r="P47" s="32">
        <f t="shared" si="1"/>
        <v>0.14344991604114657</v>
      </c>
      <c r="Q47" s="32">
        <f t="shared" si="2"/>
        <v>0.83436853002070388</v>
      </c>
      <c r="R47" s="32">
        <f t="shared" si="3"/>
        <v>-0.18108009170588976</v>
      </c>
    </row>
    <row r="48" spans="1:18">
      <c r="A48">
        <v>22814</v>
      </c>
      <c r="B48" t="s">
        <v>12</v>
      </c>
      <c r="C48" s="32" t="s">
        <v>30</v>
      </c>
      <c r="D48" t="s">
        <v>9</v>
      </c>
      <c r="E48">
        <v>2009</v>
      </c>
      <c r="F48">
        <v>11</v>
      </c>
      <c r="G48">
        <v>133</v>
      </c>
      <c r="H48">
        <v>1630</v>
      </c>
      <c r="I48">
        <v>1448</v>
      </c>
      <c r="J48" s="18">
        <v>0</v>
      </c>
      <c r="K48" s="18">
        <v>905</v>
      </c>
      <c r="L48">
        <v>56565.515999999996</v>
      </c>
      <c r="M48">
        <v>7.4333899999999994E-2</v>
      </c>
      <c r="N48">
        <v>1.1542490000000001</v>
      </c>
      <c r="O48" s="32">
        <f t="shared" si="0"/>
        <v>-2.5991881729007997</v>
      </c>
      <c r="P48" s="32">
        <f t="shared" si="1"/>
        <v>0.14344991604114657</v>
      </c>
      <c r="Q48" s="32">
        <f t="shared" si="2"/>
        <v>1.1256906077348066</v>
      </c>
      <c r="R48" s="32">
        <f t="shared" si="3"/>
        <v>0.11839672085514628</v>
      </c>
    </row>
    <row r="49" spans="1:18">
      <c r="A49">
        <v>22814</v>
      </c>
      <c r="B49" t="s">
        <v>12</v>
      </c>
      <c r="C49" s="32" t="s">
        <v>30</v>
      </c>
      <c r="D49" t="s">
        <v>9</v>
      </c>
      <c r="E49">
        <v>2009</v>
      </c>
      <c r="F49">
        <v>12</v>
      </c>
      <c r="G49">
        <v>198</v>
      </c>
      <c r="H49">
        <v>2416</v>
      </c>
      <c r="I49">
        <v>1451</v>
      </c>
      <c r="J49" s="18">
        <v>0</v>
      </c>
      <c r="K49" s="18">
        <v>1513</v>
      </c>
      <c r="L49">
        <v>56565.515999999996</v>
      </c>
      <c r="M49">
        <v>7.4660599999999994E-2</v>
      </c>
      <c r="N49">
        <v>1.1542490000000001</v>
      </c>
      <c r="O49" s="32">
        <f t="shared" si="0"/>
        <v>-2.5948027690961672</v>
      </c>
      <c r="P49" s="32">
        <f t="shared" si="1"/>
        <v>0.14344991604114657</v>
      </c>
      <c r="Q49" s="32">
        <f t="shared" si="2"/>
        <v>1.6650585802894555</v>
      </c>
      <c r="R49" s="32">
        <f t="shared" si="3"/>
        <v>0.5098603061705177</v>
      </c>
    </row>
    <row r="50" spans="1:18">
      <c r="A50">
        <v>17166</v>
      </c>
      <c r="B50" t="s">
        <v>13</v>
      </c>
      <c r="C50" s="32" t="s">
        <v>31</v>
      </c>
      <c r="D50" t="s">
        <v>9</v>
      </c>
      <c r="E50">
        <v>2009</v>
      </c>
      <c r="F50">
        <v>1</v>
      </c>
      <c r="G50">
        <v>31713</v>
      </c>
      <c r="H50">
        <v>225330</v>
      </c>
      <c r="I50">
        <v>276971</v>
      </c>
      <c r="J50" s="22">
        <v>0</v>
      </c>
      <c r="K50" s="22">
        <v>844</v>
      </c>
      <c r="L50">
        <v>48316.356</v>
      </c>
      <c r="M50">
        <v>0.12821579999999999</v>
      </c>
      <c r="N50">
        <v>1.1542490000000001</v>
      </c>
      <c r="O50" s="32">
        <f t="shared" si="0"/>
        <v>-2.0540404971598027</v>
      </c>
      <c r="P50" s="32">
        <f t="shared" si="1"/>
        <v>0.14344991604114657</v>
      </c>
      <c r="Q50" s="32">
        <f t="shared" si="2"/>
        <v>0.81355087716764574</v>
      </c>
      <c r="R50" s="32">
        <f t="shared" si="3"/>
        <v>-0.20634681319980475</v>
      </c>
    </row>
    <row r="51" spans="1:18">
      <c r="A51">
        <v>17166</v>
      </c>
      <c r="B51" t="s">
        <v>13</v>
      </c>
      <c r="C51" s="32" t="s">
        <v>31</v>
      </c>
      <c r="D51" t="s">
        <v>9</v>
      </c>
      <c r="E51">
        <v>2009</v>
      </c>
      <c r="F51">
        <v>2</v>
      </c>
      <c r="G51">
        <v>24656</v>
      </c>
      <c r="H51">
        <v>172181</v>
      </c>
      <c r="I51">
        <v>275990</v>
      </c>
      <c r="J51" s="22">
        <v>0</v>
      </c>
      <c r="K51" s="22">
        <v>716</v>
      </c>
      <c r="L51">
        <v>48316.356</v>
      </c>
      <c r="M51">
        <v>0.13045490000000001</v>
      </c>
      <c r="N51">
        <v>1.1542490000000001</v>
      </c>
      <c r="O51" s="32">
        <f t="shared" si="0"/>
        <v>-2.0367277058204443</v>
      </c>
      <c r="P51" s="32">
        <f t="shared" si="1"/>
        <v>0.14344991604114657</v>
      </c>
      <c r="Q51" s="32">
        <f t="shared" si="2"/>
        <v>0.62386680676836115</v>
      </c>
      <c r="R51" s="32">
        <f t="shared" si="3"/>
        <v>-0.47181838408827942</v>
      </c>
    </row>
    <row r="52" spans="1:18">
      <c r="A52">
        <v>17166</v>
      </c>
      <c r="B52" t="s">
        <v>13</v>
      </c>
      <c r="C52" s="32" t="s">
        <v>31</v>
      </c>
      <c r="D52" t="s">
        <v>9</v>
      </c>
      <c r="E52">
        <v>2009</v>
      </c>
      <c r="F52">
        <v>3</v>
      </c>
      <c r="G52">
        <v>26792</v>
      </c>
      <c r="H52">
        <v>184643</v>
      </c>
      <c r="I52">
        <v>275305</v>
      </c>
      <c r="J52" s="22">
        <v>0</v>
      </c>
      <c r="K52" s="22">
        <v>714</v>
      </c>
      <c r="L52">
        <v>48316.356</v>
      </c>
      <c r="M52">
        <v>0.132189</v>
      </c>
      <c r="N52">
        <v>1.1542490000000001</v>
      </c>
      <c r="O52" s="32">
        <f t="shared" si="0"/>
        <v>-2.0235225622881918</v>
      </c>
      <c r="P52" s="32">
        <f t="shared" si="1"/>
        <v>0.14344991604114657</v>
      </c>
      <c r="Q52" s="32">
        <f t="shared" si="2"/>
        <v>0.67068524000653817</v>
      </c>
      <c r="R52" s="32">
        <f t="shared" si="3"/>
        <v>-0.39945534296735752</v>
      </c>
    </row>
    <row r="53" spans="1:18">
      <c r="A53">
        <v>17166</v>
      </c>
      <c r="B53" t="s">
        <v>13</v>
      </c>
      <c r="C53" s="32" t="s">
        <v>31</v>
      </c>
      <c r="D53" t="s">
        <v>9</v>
      </c>
      <c r="E53">
        <v>2009</v>
      </c>
      <c r="F53">
        <v>4</v>
      </c>
      <c r="G53">
        <v>23566</v>
      </c>
      <c r="H53">
        <v>161388</v>
      </c>
      <c r="I53">
        <v>275346</v>
      </c>
      <c r="J53" s="22">
        <v>5</v>
      </c>
      <c r="K53" s="22">
        <v>488</v>
      </c>
      <c r="L53">
        <v>48316.356</v>
      </c>
      <c r="M53">
        <v>0.13302639999999999</v>
      </c>
      <c r="N53">
        <v>1.1542490000000001</v>
      </c>
      <c r="O53" s="32">
        <f t="shared" si="0"/>
        <v>-2.0172076742175542</v>
      </c>
      <c r="P53" s="32">
        <f t="shared" si="1"/>
        <v>0.14344991604114657</v>
      </c>
      <c r="Q53" s="32">
        <f t="shared" si="2"/>
        <v>0.58612799895404333</v>
      </c>
      <c r="R53" s="32">
        <f t="shared" si="3"/>
        <v>-0.53421708500788057</v>
      </c>
    </row>
    <row r="54" spans="1:18">
      <c r="A54">
        <v>17166</v>
      </c>
      <c r="B54" t="s">
        <v>13</v>
      </c>
      <c r="C54" s="32" t="s">
        <v>31</v>
      </c>
      <c r="D54" t="s">
        <v>9</v>
      </c>
      <c r="E54">
        <v>2009</v>
      </c>
      <c r="F54">
        <v>5</v>
      </c>
      <c r="G54">
        <v>23296</v>
      </c>
      <c r="H54">
        <v>157338</v>
      </c>
      <c r="I54">
        <v>274800</v>
      </c>
      <c r="J54" s="22">
        <v>80</v>
      </c>
      <c r="K54" s="22">
        <v>109</v>
      </c>
      <c r="L54">
        <v>48316.356</v>
      </c>
      <c r="M54">
        <v>0.13488720000000001</v>
      </c>
      <c r="N54">
        <v>1.1542490000000001</v>
      </c>
      <c r="O54" s="32">
        <f t="shared" si="0"/>
        <v>-2.0033164053703767</v>
      </c>
      <c r="P54" s="32">
        <f t="shared" si="1"/>
        <v>0.14344991604114657</v>
      </c>
      <c r="Q54" s="32">
        <f t="shared" si="2"/>
        <v>0.57255458515283841</v>
      </c>
      <c r="R54" s="32">
        <f t="shared" si="3"/>
        <v>-0.55764720285367875</v>
      </c>
    </row>
    <row r="55" spans="1:18">
      <c r="A55">
        <v>17166</v>
      </c>
      <c r="B55" t="s">
        <v>13</v>
      </c>
      <c r="C55" s="32" t="s">
        <v>31</v>
      </c>
      <c r="D55" t="s">
        <v>9</v>
      </c>
      <c r="E55">
        <v>2009</v>
      </c>
      <c r="F55">
        <v>6</v>
      </c>
      <c r="G55">
        <v>21846</v>
      </c>
      <c r="H55">
        <v>150247</v>
      </c>
      <c r="I55">
        <v>275297</v>
      </c>
      <c r="J55" s="22">
        <v>93</v>
      </c>
      <c r="K55" s="22">
        <v>102</v>
      </c>
      <c r="L55">
        <v>48316.356</v>
      </c>
      <c r="M55">
        <v>0.13246140000000001</v>
      </c>
      <c r="N55">
        <v>1.1542490000000001</v>
      </c>
      <c r="O55" s="32">
        <f t="shared" si="0"/>
        <v>-2.0214639967527113</v>
      </c>
      <c r="P55" s="32">
        <f t="shared" si="1"/>
        <v>0.14344991604114657</v>
      </c>
      <c r="Q55" s="32">
        <f t="shared" si="2"/>
        <v>0.54576330290558928</v>
      </c>
      <c r="R55" s="32">
        <f t="shared" si="3"/>
        <v>-0.60556990839228586</v>
      </c>
    </row>
    <row r="56" spans="1:18">
      <c r="A56">
        <v>17166</v>
      </c>
      <c r="B56" t="s">
        <v>13</v>
      </c>
      <c r="C56" s="32" t="s">
        <v>31</v>
      </c>
      <c r="D56" t="s">
        <v>9</v>
      </c>
      <c r="E56">
        <v>2009</v>
      </c>
      <c r="F56">
        <v>7</v>
      </c>
      <c r="G56">
        <v>30211</v>
      </c>
      <c r="H56">
        <v>214984</v>
      </c>
      <c r="I56">
        <v>275029</v>
      </c>
      <c r="J56" s="22">
        <v>390</v>
      </c>
      <c r="K56" s="22">
        <v>0</v>
      </c>
      <c r="L56">
        <v>48316.356</v>
      </c>
      <c r="M56">
        <v>0.1280213</v>
      </c>
      <c r="N56">
        <v>1.1542490000000001</v>
      </c>
      <c r="O56" s="32">
        <f t="shared" si="0"/>
        <v>-2.0555586226565041</v>
      </c>
      <c r="P56" s="32">
        <f t="shared" si="1"/>
        <v>0.14344991604114657</v>
      </c>
      <c r="Q56" s="32">
        <f t="shared" si="2"/>
        <v>0.78167756854731685</v>
      </c>
      <c r="R56" s="32">
        <f t="shared" si="3"/>
        <v>-0.24631293989827621</v>
      </c>
    </row>
    <row r="57" spans="1:18">
      <c r="A57">
        <v>17166</v>
      </c>
      <c r="B57" t="s">
        <v>13</v>
      </c>
      <c r="C57" s="32" t="s">
        <v>31</v>
      </c>
      <c r="D57" t="s">
        <v>9</v>
      </c>
      <c r="E57">
        <v>2009</v>
      </c>
      <c r="F57">
        <v>8</v>
      </c>
      <c r="G57">
        <v>31760</v>
      </c>
      <c r="H57">
        <v>230764</v>
      </c>
      <c r="I57">
        <v>275327</v>
      </c>
      <c r="J57" s="22">
        <v>295</v>
      </c>
      <c r="K57" s="22">
        <v>16</v>
      </c>
      <c r="L57">
        <v>48316.356</v>
      </c>
      <c r="M57">
        <v>0.1253821</v>
      </c>
      <c r="N57">
        <v>1.1542490000000001</v>
      </c>
      <c r="O57" s="32">
        <f t="shared" si="0"/>
        <v>-2.0763894041937907</v>
      </c>
      <c r="P57" s="32">
        <f t="shared" si="1"/>
        <v>0.14344991604114657</v>
      </c>
      <c r="Q57" s="32">
        <f t="shared" si="2"/>
        <v>0.83814518735903121</v>
      </c>
      <c r="R57" s="32">
        <f t="shared" si="3"/>
        <v>-0.17656393890185063</v>
      </c>
    </row>
    <row r="58" spans="1:18">
      <c r="A58">
        <v>17166</v>
      </c>
      <c r="B58" t="s">
        <v>13</v>
      </c>
      <c r="C58" s="32" t="s">
        <v>31</v>
      </c>
      <c r="D58" t="s">
        <v>9</v>
      </c>
      <c r="E58">
        <v>2009</v>
      </c>
      <c r="F58">
        <v>9</v>
      </c>
      <c r="G58">
        <v>24469</v>
      </c>
      <c r="H58">
        <v>174845</v>
      </c>
      <c r="I58">
        <v>275109</v>
      </c>
      <c r="J58" s="22">
        <v>195</v>
      </c>
      <c r="K58" s="22">
        <v>33</v>
      </c>
      <c r="L58">
        <v>48316.356</v>
      </c>
      <c r="M58">
        <v>0.12749289999999999</v>
      </c>
      <c r="N58">
        <v>1.1542490000000001</v>
      </c>
      <c r="O58" s="32">
        <f t="shared" si="0"/>
        <v>-2.0596946022087042</v>
      </c>
      <c r="P58" s="32">
        <f t="shared" si="1"/>
        <v>0.14344991604114657</v>
      </c>
      <c r="Q58" s="32">
        <f t="shared" si="2"/>
        <v>0.63554809184723149</v>
      </c>
      <c r="R58" s="32">
        <f t="shared" si="3"/>
        <v>-0.45326751561048284</v>
      </c>
    </row>
    <row r="59" spans="1:18">
      <c r="A59">
        <v>17166</v>
      </c>
      <c r="B59" t="s">
        <v>13</v>
      </c>
      <c r="C59" s="32" t="s">
        <v>31</v>
      </c>
      <c r="D59" t="s">
        <v>9</v>
      </c>
      <c r="E59">
        <v>2009</v>
      </c>
      <c r="F59">
        <v>10</v>
      </c>
      <c r="G59">
        <v>20632</v>
      </c>
      <c r="H59">
        <v>156060</v>
      </c>
      <c r="I59">
        <v>274766</v>
      </c>
      <c r="J59" s="22">
        <v>0</v>
      </c>
      <c r="K59" s="22">
        <v>410</v>
      </c>
      <c r="L59">
        <v>48316.356</v>
      </c>
      <c r="M59">
        <v>0.12044059999999999</v>
      </c>
      <c r="N59">
        <v>1.1542490000000001</v>
      </c>
      <c r="O59" s="32">
        <f t="shared" si="0"/>
        <v>-2.1165985936473697</v>
      </c>
      <c r="P59" s="32">
        <f t="shared" si="1"/>
        <v>0.14344991604114657</v>
      </c>
      <c r="Q59" s="32">
        <f t="shared" si="2"/>
        <v>0.56797420350407257</v>
      </c>
      <c r="R59" s="32">
        <f t="shared" si="3"/>
        <v>-0.56567927765840953</v>
      </c>
    </row>
    <row r="60" spans="1:18">
      <c r="A60">
        <v>17166</v>
      </c>
      <c r="B60" t="s">
        <v>13</v>
      </c>
      <c r="C60" s="32" t="s">
        <v>31</v>
      </c>
      <c r="D60" t="s">
        <v>9</v>
      </c>
      <c r="E60">
        <v>2009</v>
      </c>
      <c r="F60">
        <v>11</v>
      </c>
      <c r="G60">
        <v>21615</v>
      </c>
      <c r="H60">
        <v>163023</v>
      </c>
      <c r="I60">
        <v>274829</v>
      </c>
      <c r="J60" s="22">
        <v>0</v>
      </c>
      <c r="K60" s="22">
        <v>622</v>
      </c>
      <c r="L60">
        <v>48316.356</v>
      </c>
      <c r="M60">
        <v>0.1207896</v>
      </c>
      <c r="N60">
        <v>1.1542490000000001</v>
      </c>
      <c r="O60" s="32">
        <f t="shared" si="0"/>
        <v>-2.1137050899028447</v>
      </c>
      <c r="P60" s="32">
        <f t="shared" si="1"/>
        <v>0.14344991604114657</v>
      </c>
      <c r="Q60" s="32">
        <f t="shared" si="2"/>
        <v>0.59317975905017306</v>
      </c>
      <c r="R60" s="32">
        <f t="shared" si="3"/>
        <v>-0.52225779092868008</v>
      </c>
    </row>
    <row r="61" spans="1:18">
      <c r="A61">
        <v>17166</v>
      </c>
      <c r="B61" t="s">
        <v>13</v>
      </c>
      <c r="C61" s="32" t="s">
        <v>31</v>
      </c>
      <c r="D61" t="s">
        <v>9</v>
      </c>
      <c r="E61">
        <v>2009</v>
      </c>
      <c r="F61">
        <v>12</v>
      </c>
      <c r="G61">
        <v>31426</v>
      </c>
      <c r="H61">
        <v>244503</v>
      </c>
      <c r="I61">
        <v>276257</v>
      </c>
      <c r="J61" s="22">
        <v>0</v>
      </c>
      <c r="K61" s="22">
        <v>1141</v>
      </c>
      <c r="L61">
        <v>48316.356</v>
      </c>
      <c r="M61">
        <v>0.11709219999999999</v>
      </c>
      <c r="N61">
        <v>1.1542490000000001</v>
      </c>
      <c r="O61" s="32">
        <f t="shared" si="0"/>
        <v>-2.1447936203322615</v>
      </c>
      <c r="P61" s="32">
        <f t="shared" si="1"/>
        <v>0.14344991604114657</v>
      </c>
      <c r="Q61" s="32">
        <f t="shared" si="2"/>
        <v>0.88505630626554255</v>
      </c>
      <c r="R61" s="32">
        <f t="shared" si="3"/>
        <v>-0.12210401309914019</v>
      </c>
    </row>
    <row r="62" spans="1:18">
      <c r="A62">
        <v>19840</v>
      </c>
      <c r="B62" t="s">
        <v>14</v>
      </c>
      <c r="C62" s="32" t="s">
        <v>32</v>
      </c>
      <c r="D62" t="s">
        <v>9</v>
      </c>
      <c r="E62">
        <v>2009</v>
      </c>
      <c r="F62">
        <v>1</v>
      </c>
      <c r="G62">
        <v>3599.18</v>
      </c>
      <c r="H62">
        <v>32178.6</v>
      </c>
      <c r="I62">
        <v>18349</v>
      </c>
      <c r="J62" s="27">
        <v>0</v>
      </c>
      <c r="K62" s="27">
        <v>954</v>
      </c>
      <c r="L62">
        <v>38741.567999999999</v>
      </c>
      <c r="M62">
        <v>0.1018966</v>
      </c>
      <c r="N62">
        <v>0.86400180000000004</v>
      </c>
      <c r="O62" s="32">
        <f t="shared" si="0"/>
        <v>-2.2837967053552592</v>
      </c>
      <c r="P62" s="32">
        <f t="shared" si="1"/>
        <v>-0.14618042684691818</v>
      </c>
      <c r="Q62" s="32">
        <f t="shared" si="2"/>
        <v>1.7536977491961414</v>
      </c>
      <c r="R62" s="32">
        <f t="shared" si="3"/>
        <v>0.56172655823225393</v>
      </c>
    </row>
    <row r="63" spans="1:18">
      <c r="A63">
        <v>19840</v>
      </c>
      <c r="B63" t="s">
        <v>14</v>
      </c>
      <c r="C63" s="32" t="s">
        <v>32</v>
      </c>
      <c r="D63" t="s">
        <v>9</v>
      </c>
      <c r="E63">
        <v>2009</v>
      </c>
      <c r="F63">
        <v>2</v>
      </c>
      <c r="G63">
        <v>2981.26</v>
      </c>
      <c r="H63">
        <v>26174.400000000001</v>
      </c>
      <c r="I63">
        <v>18362</v>
      </c>
      <c r="J63" s="27">
        <v>0</v>
      </c>
      <c r="K63" s="27">
        <v>780</v>
      </c>
      <c r="L63">
        <v>38741.567999999999</v>
      </c>
      <c r="M63">
        <v>0.10376390000000001</v>
      </c>
      <c r="N63">
        <v>0.86400180000000004</v>
      </c>
      <c r="O63" s="32">
        <f t="shared" si="0"/>
        <v>-2.2656371529416846</v>
      </c>
      <c r="P63" s="32">
        <f t="shared" si="1"/>
        <v>-0.14618042684691818</v>
      </c>
      <c r="Q63" s="32">
        <f t="shared" si="2"/>
        <v>1.4254656355516828</v>
      </c>
      <c r="R63" s="32">
        <f t="shared" si="3"/>
        <v>0.35449852213626148</v>
      </c>
    </row>
    <row r="64" spans="1:18">
      <c r="A64">
        <v>19840</v>
      </c>
      <c r="B64" t="s">
        <v>14</v>
      </c>
      <c r="C64" s="32" t="s">
        <v>32</v>
      </c>
      <c r="D64" t="s">
        <v>9</v>
      </c>
      <c r="E64">
        <v>2009</v>
      </c>
      <c r="F64">
        <v>3</v>
      </c>
      <c r="G64">
        <v>2485.89</v>
      </c>
      <c r="H64">
        <v>21353</v>
      </c>
      <c r="I64">
        <v>18335</v>
      </c>
      <c r="J64" s="27">
        <v>0</v>
      </c>
      <c r="K64" s="27">
        <v>692</v>
      </c>
      <c r="L64">
        <v>38741.567999999999</v>
      </c>
      <c r="M64">
        <v>0.1060586</v>
      </c>
      <c r="N64">
        <v>0.86400180000000004</v>
      </c>
      <c r="O64" s="32">
        <f t="shared" si="0"/>
        <v>-2.2437635074357041</v>
      </c>
      <c r="P64" s="32">
        <f t="shared" si="1"/>
        <v>-0.14618042684691818</v>
      </c>
      <c r="Q64" s="32">
        <f t="shared" si="2"/>
        <v>1.1646032178892829</v>
      </c>
      <c r="R64" s="32">
        <f t="shared" si="3"/>
        <v>0.15238044350248758</v>
      </c>
    </row>
    <row r="65" spans="1:18">
      <c r="A65">
        <v>19840</v>
      </c>
      <c r="B65" t="s">
        <v>14</v>
      </c>
      <c r="C65" s="32" t="s">
        <v>32</v>
      </c>
      <c r="D65" t="s">
        <v>9</v>
      </c>
      <c r="E65">
        <v>2009</v>
      </c>
      <c r="F65">
        <v>4</v>
      </c>
      <c r="G65">
        <v>2154.88</v>
      </c>
      <c r="H65">
        <v>18138.599999999999</v>
      </c>
      <c r="I65">
        <v>18335</v>
      </c>
      <c r="J65" s="27">
        <v>0</v>
      </c>
      <c r="K65" s="27">
        <v>499</v>
      </c>
      <c r="L65">
        <v>38741.567999999999</v>
      </c>
      <c r="M65">
        <v>0.1082287</v>
      </c>
      <c r="N65">
        <v>0.86400180000000004</v>
      </c>
      <c r="O65" s="32">
        <f t="shared" si="0"/>
        <v>-2.2235086982043022</v>
      </c>
      <c r="P65" s="32">
        <f t="shared" si="1"/>
        <v>-0.14618042684691818</v>
      </c>
      <c r="Q65" s="32">
        <f t="shared" si="2"/>
        <v>0.98928824652304326</v>
      </c>
      <c r="R65" s="32">
        <f t="shared" si="3"/>
        <v>-1.0769537322905046E-2</v>
      </c>
    </row>
    <row r="66" spans="1:18">
      <c r="A66">
        <v>19840</v>
      </c>
      <c r="B66" t="s">
        <v>14</v>
      </c>
      <c r="C66" s="32" t="s">
        <v>32</v>
      </c>
      <c r="D66" t="s">
        <v>9</v>
      </c>
      <c r="E66">
        <v>2009</v>
      </c>
      <c r="F66">
        <v>5</v>
      </c>
      <c r="G66">
        <v>2056.4</v>
      </c>
      <c r="H66">
        <v>17286</v>
      </c>
      <c r="I66">
        <v>18326</v>
      </c>
      <c r="J66" s="27">
        <v>26</v>
      </c>
      <c r="K66" s="27">
        <v>60</v>
      </c>
      <c r="L66">
        <v>38741.567999999999</v>
      </c>
      <c r="M66">
        <v>0.1083768</v>
      </c>
      <c r="N66">
        <v>0.86400180000000004</v>
      </c>
      <c r="O66" s="32">
        <f t="shared" si="0"/>
        <v>-2.2221412350228191</v>
      </c>
      <c r="P66" s="32">
        <f t="shared" si="1"/>
        <v>-0.14618042684691818</v>
      </c>
      <c r="Q66" s="32">
        <f t="shared" si="2"/>
        <v>0.94325002728364071</v>
      </c>
      <c r="R66" s="32">
        <f t="shared" si="3"/>
        <v>-5.8423891212575074E-2</v>
      </c>
    </row>
    <row r="67" spans="1:18">
      <c r="A67">
        <v>19840</v>
      </c>
      <c r="B67" t="s">
        <v>14</v>
      </c>
      <c r="C67" s="32" t="s">
        <v>32</v>
      </c>
      <c r="D67" t="s">
        <v>9</v>
      </c>
      <c r="E67">
        <v>2009</v>
      </c>
      <c r="F67">
        <v>6</v>
      </c>
      <c r="G67">
        <v>2419.2399999999998</v>
      </c>
      <c r="H67">
        <v>20705.7</v>
      </c>
      <c r="I67">
        <v>18310</v>
      </c>
      <c r="J67" s="27">
        <v>72</v>
      </c>
      <c r="K67" s="27">
        <v>62</v>
      </c>
      <c r="L67">
        <v>38741.567999999999</v>
      </c>
      <c r="M67">
        <v>0.1064418</v>
      </c>
      <c r="N67">
        <v>0.86400180000000004</v>
      </c>
      <c r="O67" s="32">
        <f t="shared" ref="O67:O85" si="4">LN(M67)</f>
        <v>-2.2401569220798985</v>
      </c>
      <c r="P67" s="32">
        <f t="shared" ref="P67:P85" si="5">LN(N67)</f>
        <v>-0.14618042684691818</v>
      </c>
      <c r="Q67" s="32">
        <f t="shared" ref="Q67:Q85" si="6">H67/I67</f>
        <v>1.1308410704533043</v>
      </c>
      <c r="R67" s="32">
        <f t="shared" ref="R67:R85" si="7">LN(Q67)</f>
        <v>0.12296166599849967</v>
      </c>
    </row>
    <row r="68" spans="1:18">
      <c r="A68">
        <v>19840</v>
      </c>
      <c r="B68" t="s">
        <v>14</v>
      </c>
      <c r="C68" s="32" t="s">
        <v>32</v>
      </c>
      <c r="D68" t="s">
        <v>9</v>
      </c>
      <c r="E68">
        <v>2009</v>
      </c>
      <c r="F68">
        <v>7</v>
      </c>
      <c r="G68">
        <v>3032.38</v>
      </c>
      <c r="H68">
        <v>26697.1</v>
      </c>
      <c r="I68">
        <v>18345</v>
      </c>
      <c r="J68" s="27">
        <v>321</v>
      </c>
      <c r="K68" s="27">
        <v>0</v>
      </c>
      <c r="L68">
        <v>38741.567999999999</v>
      </c>
      <c r="M68">
        <v>0.1034767</v>
      </c>
      <c r="N68">
        <v>0.86400180000000004</v>
      </c>
      <c r="O68" s="32">
        <f t="shared" si="4"/>
        <v>-2.2684088123931447</v>
      </c>
      <c r="P68" s="32">
        <f t="shared" si="5"/>
        <v>-0.14618042684691818</v>
      </c>
      <c r="Q68" s="32">
        <f t="shared" si="6"/>
        <v>1.4552793676751157</v>
      </c>
      <c r="R68" s="32">
        <f t="shared" si="7"/>
        <v>0.37519788746779575</v>
      </c>
    </row>
    <row r="69" spans="1:18">
      <c r="A69">
        <v>19840</v>
      </c>
      <c r="B69" t="s">
        <v>14</v>
      </c>
      <c r="C69" s="32" t="s">
        <v>32</v>
      </c>
      <c r="D69" t="s">
        <v>9</v>
      </c>
      <c r="E69">
        <v>2009</v>
      </c>
      <c r="F69">
        <v>8</v>
      </c>
      <c r="G69">
        <v>3430.44</v>
      </c>
      <c r="H69">
        <v>30555.5</v>
      </c>
      <c r="I69">
        <v>18297</v>
      </c>
      <c r="J69" s="27">
        <v>224</v>
      </c>
      <c r="K69" s="27">
        <v>9</v>
      </c>
      <c r="L69">
        <v>38741.567999999999</v>
      </c>
      <c r="M69">
        <v>0.1022783</v>
      </c>
      <c r="N69">
        <v>0.86400180000000004</v>
      </c>
      <c r="O69" s="32">
        <f t="shared" si="4"/>
        <v>-2.2800577497375638</v>
      </c>
      <c r="P69" s="32">
        <f t="shared" si="5"/>
        <v>-0.14618042684691818</v>
      </c>
      <c r="Q69" s="32">
        <f t="shared" si="6"/>
        <v>1.6699732196534951</v>
      </c>
      <c r="R69" s="32">
        <f t="shared" si="7"/>
        <v>0.51280759016445188</v>
      </c>
    </row>
    <row r="70" spans="1:18">
      <c r="A70">
        <v>19840</v>
      </c>
      <c r="B70" t="s">
        <v>14</v>
      </c>
      <c r="C70" s="32" t="s">
        <v>32</v>
      </c>
      <c r="D70" t="s">
        <v>9</v>
      </c>
      <c r="E70">
        <v>2009</v>
      </c>
      <c r="F70">
        <v>9</v>
      </c>
      <c r="G70">
        <v>3007.86</v>
      </c>
      <c r="H70">
        <v>26436.7</v>
      </c>
      <c r="I70">
        <v>18317</v>
      </c>
      <c r="J70" s="27">
        <v>98</v>
      </c>
      <c r="K70" s="27">
        <v>13</v>
      </c>
      <c r="L70">
        <v>38741.567999999999</v>
      </c>
      <c r="M70">
        <v>0.10365099999999999</v>
      </c>
      <c r="N70">
        <v>0.86400180000000004</v>
      </c>
      <c r="O70" s="32">
        <f t="shared" si="4"/>
        <v>-2.2667257922935362</v>
      </c>
      <c r="P70" s="32">
        <f t="shared" si="5"/>
        <v>-0.14618042684691818</v>
      </c>
      <c r="Q70" s="32">
        <f t="shared" si="6"/>
        <v>1.443287656275591</v>
      </c>
      <c r="R70" s="32">
        <f t="shared" si="7"/>
        <v>0.36692360592329104</v>
      </c>
    </row>
    <row r="71" spans="1:18">
      <c r="A71">
        <v>19840</v>
      </c>
      <c r="B71" t="s">
        <v>14</v>
      </c>
      <c r="C71" s="32" t="s">
        <v>32</v>
      </c>
      <c r="D71" t="s">
        <v>9</v>
      </c>
      <c r="E71">
        <v>2009</v>
      </c>
      <c r="F71">
        <v>10</v>
      </c>
      <c r="G71">
        <v>2174.1799999999998</v>
      </c>
      <c r="H71">
        <v>18330</v>
      </c>
      <c r="I71">
        <v>18302</v>
      </c>
      <c r="J71" s="27">
        <v>0</v>
      </c>
      <c r="K71" s="27">
        <v>503</v>
      </c>
      <c r="L71">
        <v>38741.567999999999</v>
      </c>
      <c r="M71">
        <v>0.1080578</v>
      </c>
      <c r="N71">
        <v>0.86400180000000004</v>
      </c>
      <c r="O71" s="32">
        <f t="shared" si="4"/>
        <v>-2.2250890098332476</v>
      </c>
      <c r="P71" s="32">
        <f t="shared" si="5"/>
        <v>-0.14618042684691818</v>
      </c>
      <c r="Q71" s="32">
        <f t="shared" si="6"/>
        <v>1.0015298874439953</v>
      </c>
      <c r="R71" s="32">
        <f t="shared" si="7"/>
        <v>1.5287183584273064E-3</v>
      </c>
    </row>
    <row r="72" spans="1:18">
      <c r="A72">
        <v>19840</v>
      </c>
      <c r="B72" t="s">
        <v>14</v>
      </c>
      <c r="C72" s="32" t="s">
        <v>32</v>
      </c>
      <c r="D72" t="s">
        <v>9</v>
      </c>
      <c r="E72">
        <v>2009</v>
      </c>
      <c r="F72">
        <v>11</v>
      </c>
      <c r="G72">
        <v>2111.5300000000002</v>
      </c>
      <c r="H72">
        <v>17720.2</v>
      </c>
      <c r="I72">
        <v>18314</v>
      </c>
      <c r="J72" s="27">
        <v>0</v>
      </c>
      <c r="K72" s="27">
        <v>750</v>
      </c>
      <c r="L72">
        <v>38741.567999999999</v>
      </c>
      <c r="M72">
        <v>0.1085555</v>
      </c>
      <c r="N72">
        <v>0.86400180000000004</v>
      </c>
      <c r="O72" s="32">
        <f t="shared" si="4"/>
        <v>-2.2204937160464313</v>
      </c>
      <c r="P72" s="32">
        <f t="shared" si="5"/>
        <v>-0.14618042684691818</v>
      </c>
      <c r="Q72" s="32">
        <f t="shared" si="6"/>
        <v>0.96757671726548</v>
      </c>
      <c r="R72" s="32">
        <f t="shared" si="7"/>
        <v>-3.2960562890584001E-2</v>
      </c>
    </row>
    <row r="73" spans="1:18">
      <c r="A73">
        <v>19840</v>
      </c>
      <c r="B73" t="s">
        <v>14</v>
      </c>
      <c r="C73" s="32" t="s">
        <v>32</v>
      </c>
      <c r="D73" t="s">
        <v>9</v>
      </c>
      <c r="E73">
        <v>2009</v>
      </c>
      <c r="F73">
        <v>12</v>
      </c>
      <c r="G73">
        <v>3016.02</v>
      </c>
      <c r="H73">
        <v>26524.1</v>
      </c>
      <c r="I73">
        <v>18291</v>
      </c>
      <c r="J73" s="27">
        <v>0</v>
      </c>
      <c r="K73" s="27">
        <v>1244</v>
      </c>
      <c r="L73">
        <v>38741.567999999999</v>
      </c>
      <c r="M73">
        <v>0.10358970000000001</v>
      </c>
      <c r="N73">
        <v>0.86400180000000004</v>
      </c>
      <c r="O73" s="32">
        <f t="shared" si="4"/>
        <v>-2.2673173749487554</v>
      </c>
      <c r="P73" s="32">
        <f t="shared" si="5"/>
        <v>-0.14618042684691818</v>
      </c>
      <c r="Q73" s="32">
        <f t="shared" si="6"/>
        <v>1.4501175441473948</v>
      </c>
      <c r="R73" s="32">
        <f t="shared" si="7"/>
        <v>0.37164461807613702</v>
      </c>
    </row>
    <row r="74" spans="1:18">
      <c r="A74">
        <v>20332</v>
      </c>
      <c r="B74" t="s">
        <v>15</v>
      </c>
      <c r="C74" s="32" t="s">
        <v>33</v>
      </c>
      <c r="D74" t="s">
        <v>9</v>
      </c>
      <c r="E74">
        <v>2009</v>
      </c>
      <c r="F74">
        <v>1</v>
      </c>
      <c r="G74">
        <v>553</v>
      </c>
      <c r="H74">
        <v>6237</v>
      </c>
      <c r="I74">
        <v>4207</v>
      </c>
      <c r="J74" s="31">
        <v>0</v>
      </c>
      <c r="K74" s="31">
        <v>1172</v>
      </c>
      <c r="L74">
        <v>51758.987999999998</v>
      </c>
      <c r="M74">
        <v>8.0774200000000004E-2</v>
      </c>
      <c r="N74">
        <v>1.1542490000000001</v>
      </c>
      <c r="O74" s="32">
        <f t="shared" si="4"/>
        <v>-2.5160976713750927</v>
      </c>
      <c r="P74" s="32">
        <f t="shared" si="5"/>
        <v>0.14344991604114657</v>
      </c>
      <c r="Q74" s="32">
        <f t="shared" si="6"/>
        <v>1.4825291181364393</v>
      </c>
      <c r="R74" s="32">
        <f t="shared" si="7"/>
        <v>0.39374949293560174</v>
      </c>
    </row>
    <row r="75" spans="1:18">
      <c r="A75">
        <v>20332</v>
      </c>
      <c r="B75" t="s">
        <v>15</v>
      </c>
      <c r="C75" s="32" t="s">
        <v>33</v>
      </c>
      <c r="D75" t="s">
        <v>9</v>
      </c>
      <c r="E75">
        <v>2009</v>
      </c>
      <c r="F75">
        <v>2</v>
      </c>
      <c r="G75">
        <v>478</v>
      </c>
      <c r="H75">
        <v>5625</v>
      </c>
      <c r="I75">
        <v>4190</v>
      </c>
      <c r="J75" s="31">
        <v>0</v>
      </c>
      <c r="K75" s="31">
        <v>975</v>
      </c>
      <c r="L75">
        <v>51758.987999999998</v>
      </c>
      <c r="M75">
        <v>7.7415600000000001E-2</v>
      </c>
      <c r="N75">
        <v>1.1542490000000001</v>
      </c>
      <c r="O75" s="32">
        <f t="shared" si="4"/>
        <v>-2.5585669683074093</v>
      </c>
      <c r="P75" s="32">
        <f t="shared" si="5"/>
        <v>0.14344991604114657</v>
      </c>
      <c r="Q75" s="32">
        <f t="shared" si="6"/>
        <v>1.3424821002386635</v>
      </c>
      <c r="R75" s="32">
        <f t="shared" si="7"/>
        <v>0.29452021415643753</v>
      </c>
    </row>
    <row r="76" spans="1:18">
      <c r="A76">
        <v>20332</v>
      </c>
      <c r="B76" t="s">
        <v>15</v>
      </c>
      <c r="C76" s="32" t="s">
        <v>33</v>
      </c>
      <c r="D76" t="s">
        <v>9</v>
      </c>
      <c r="E76">
        <v>2009</v>
      </c>
      <c r="F76">
        <v>3</v>
      </c>
      <c r="G76">
        <v>417</v>
      </c>
      <c r="H76">
        <v>4799</v>
      </c>
      <c r="I76">
        <v>4195</v>
      </c>
      <c r="J76" s="31">
        <v>0</v>
      </c>
      <c r="K76" s="31">
        <v>932</v>
      </c>
      <c r="L76">
        <v>51758.987999999998</v>
      </c>
      <c r="M76">
        <v>7.9160499999999995E-2</v>
      </c>
      <c r="N76">
        <v>1.1542490000000001</v>
      </c>
      <c r="O76" s="32">
        <f t="shared" si="4"/>
        <v>-2.5362778419463456</v>
      </c>
      <c r="P76" s="32">
        <f t="shared" si="5"/>
        <v>0.14344991604114657</v>
      </c>
      <c r="Q76" s="32">
        <f t="shared" si="6"/>
        <v>1.1439809296781884</v>
      </c>
      <c r="R76" s="32">
        <f t="shared" si="7"/>
        <v>0.13451422295693907</v>
      </c>
    </row>
    <row r="77" spans="1:18">
      <c r="A77">
        <v>20332</v>
      </c>
      <c r="B77" t="s">
        <v>15</v>
      </c>
      <c r="C77" s="32" t="s">
        <v>33</v>
      </c>
      <c r="D77" t="s">
        <v>9</v>
      </c>
      <c r="E77">
        <v>2009</v>
      </c>
      <c r="F77">
        <v>4</v>
      </c>
      <c r="G77">
        <v>415</v>
      </c>
      <c r="H77">
        <v>4772</v>
      </c>
      <c r="I77">
        <v>4195</v>
      </c>
      <c r="J77" s="31">
        <v>0</v>
      </c>
      <c r="K77" s="31">
        <v>761</v>
      </c>
      <c r="L77">
        <v>51758.987999999998</v>
      </c>
      <c r="M77">
        <v>7.9226599999999994E-2</v>
      </c>
      <c r="N77">
        <v>1.1542490000000001</v>
      </c>
      <c r="O77" s="32">
        <f t="shared" si="4"/>
        <v>-2.5354431779637681</v>
      </c>
      <c r="P77" s="32">
        <f t="shared" si="5"/>
        <v>0.14344991604114657</v>
      </c>
      <c r="Q77" s="32">
        <f t="shared" si="6"/>
        <v>1.1375446960667461</v>
      </c>
      <c r="R77" s="32">
        <f t="shared" si="7"/>
        <v>0.12887216431650017</v>
      </c>
    </row>
    <row r="78" spans="1:18">
      <c r="A78">
        <v>20332</v>
      </c>
      <c r="B78" t="s">
        <v>15</v>
      </c>
      <c r="C78" s="32" t="s">
        <v>33</v>
      </c>
      <c r="D78" t="s">
        <v>9</v>
      </c>
      <c r="E78">
        <v>2009</v>
      </c>
      <c r="F78">
        <v>5</v>
      </c>
      <c r="G78">
        <v>305</v>
      </c>
      <c r="H78">
        <v>3270</v>
      </c>
      <c r="I78">
        <v>4209</v>
      </c>
      <c r="J78" s="31">
        <v>3</v>
      </c>
      <c r="K78" s="31">
        <v>339</v>
      </c>
      <c r="L78">
        <v>51758.987999999998</v>
      </c>
      <c r="M78">
        <v>8.4971900000000003E-2</v>
      </c>
      <c r="N78">
        <v>1.1542490000000001</v>
      </c>
      <c r="O78" s="32">
        <f t="shared" si="4"/>
        <v>-2.4654346653834516</v>
      </c>
      <c r="P78" s="32">
        <f t="shared" si="5"/>
        <v>0.14344991604114657</v>
      </c>
      <c r="Q78" s="32">
        <f t="shared" si="6"/>
        <v>0.77690662865288662</v>
      </c>
      <c r="R78" s="32">
        <f t="shared" si="7"/>
        <v>-0.25243510487927162</v>
      </c>
    </row>
    <row r="79" spans="1:18">
      <c r="A79">
        <v>20332</v>
      </c>
      <c r="B79" t="s">
        <v>15</v>
      </c>
      <c r="C79" s="32" t="s">
        <v>33</v>
      </c>
      <c r="D79" t="s">
        <v>9</v>
      </c>
      <c r="E79">
        <v>2009</v>
      </c>
      <c r="F79">
        <v>6</v>
      </c>
      <c r="G79">
        <v>278</v>
      </c>
      <c r="H79">
        <v>2897</v>
      </c>
      <c r="I79">
        <v>4210</v>
      </c>
      <c r="J79" s="31">
        <v>12</v>
      </c>
      <c r="K79" s="31">
        <v>295</v>
      </c>
      <c r="L79">
        <v>51758.987999999998</v>
      </c>
      <c r="M79">
        <v>8.7421700000000005E-2</v>
      </c>
      <c r="N79">
        <v>1.1542490000000001</v>
      </c>
      <c r="O79" s="32">
        <f t="shared" si="4"/>
        <v>-2.4370117433850971</v>
      </c>
      <c r="P79" s="32">
        <f t="shared" si="5"/>
        <v>0.14344991604114657</v>
      </c>
      <c r="Q79" s="32">
        <f t="shared" si="6"/>
        <v>0.68812351543942996</v>
      </c>
      <c r="R79" s="32">
        <f t="shared" si="7"/>
        <v>-0.37378692890707665</v>
      </c>
    </row>
    <row r="80" spans="1:18">
      <c r="A80">
        <v>20332</v>
      </c>
      <c r="B80" t="s">
        <v>15</v>
      </c>
      <c r="C80" s="32" t="s">
        <v>33</v>
      </c>
      <c r="D80" t="s">
        <v>9</v>
      </c>
      <c r="E80">
        <v>2009</v>
      </c>
      <c r="F80">
        <v>7</v>
      </c>
      <c r="G80">
        <v>261</v>
      </c>
      <c r="H80">
        <v>2955</v>
      </c>
      <c r="I80">
        <v>4215</v>
      </c>
      <c r="J80" s="31">
        <v>131</v>
      </c>
      <c r="K80" s="31">
        <v>17</v>
      </c>
      <c r="L80">
        <v>51758.987999999998</v>
      </c>
      <c r="M80">
        <v>8.0464800000000003E-2</v>
      </c>
      <c r="N80">
        <v>1.1542490000000001</v>
      </c>
      <c r="O80" s="32">
        <f t="shared" si="4"/>
        <v>-2.5199354572674926</v>
      </c>
      <c r="P80" s="32">
        <f t="shared" si="5"/>
        <v>0.14344991604114657</v>
      </c>
      <c r="Q80" s="32">
        <f t="shared" si="6"/>
        <v>0.70106761565836295</v>
      </c>
      <c r="R80" s="32">
        <f t="shared" si="7"/>
        <v>-0.3551509405957573</v>
      </c>
    </row>
    <row r="81" spans="1:18">
      <c r="A81">
        <v>20332</v>
      </c>
      <c r="B81" t="s">
        <v>15</v>
      </c>
      <c r="C81" s="32" t="s">
        <v>33</v>
      </c>
      <c r="D81" t="s">
        <v>9</v>
      </c>
      <c r="E81">
        <v>2009</v>
      </c>
      <c r="F81">
        <v>8</v>
      </c>
      <c r="G81">
        <v>289</v>
      </c>
      <c r="H81">
        <v>3052</v>
      </c>
      <c r="I81">
        <v>4219</v>
      </c>
      <c r="J81" s="31">
        <v>114</v>
      </c>
      <c r="K81" s="31">
        <v>70</v>
      </c>
      <c r="L81">
        <v>51758.987999999998</v>
      </c>
      <c r="M81">
        <v>8.6265400000000006E-2</v>
      </c>
      <c r="N81">
        <v>1.1542490000000001</v>
      </c>
      <c r="O81" s="32">
        <f t="shared" si="4"/>
        <v>-2.4503266882843135</v>
      </c>
      <c r="P81" s="32">
        <f t="shared" si="5"/>
        <v>0.14344991604114657</v>
      </c>
      <c r="Q81" s="32">
        <f t="shared" si="6"/>
        <v>0.72339416923441568</v>
      </c>
      <c r="R81" s="32">
        <f t="shared" si="7"/>
        <v>-0.32380101971999115</v>
      </c>
    </row>
    <row r="82" spans="1:18">
      <c r="A82">
        <v>20332</v>
      </c>
      <c r="B82" t="s">
        <v>15</v>
      </c>
      <c r="C82" s="32" t="s">
        <v>33</v>
      </c>
      <c r="D82" t="s">
        <v>9</v>
      </c>
      <c r="E82">
        <v>2009</v>
      </c>
      <c r="F82">
        <v>9</v>
      </c>
      <c r="G82">
        <v>288</v>
      </c>
      <c r="H82">
        <v>3135</v>
      </c>
      <c r="I82">
        <v>4216</v>
      </c>
      <c r="J82" s="31">
        <v>24</v>
      </c>
      <c r="K82" s="31">
        <v>88</v>
      </c>
      <c r="L82">
        <v>51758.987999999998</v>
      </c>
      <c r="M82">
        <v>8.3690899999999999E-2</v>
      </c>
      <c r="N82">
        <v>1.1542490000000001</v>
      </c>
      <c r="O82" s="32">
        <f t="shared" si="4"/>
        <v>-2.4806250290221823</v>
      </c>
      <c r="P82" s="32">
        <f t="shared" si="5"/>
        <v>0.14344991604114657</v>
      </c>
      <c r="Q82" s="32">
        <f t="shared" si="6"/>
        <v>0.74359582542694502</v>
      </c>
      <c r="R82" s="32">
        <f t="shared" si="7"/>
        <v>-0.29625763715417713</v>
      </c>
    </row>
    <row r="83" spans="1:18">
      <c r="A83">
        <v>20332</v>
      </c>
      <c r="B83" t="s">
        <v>15</v>
      </c>
      <c r="C83" s="32" t="s">
        <v>33</v>
      </c>
      <c r="D83" t="s">
        <v>9</v>
      </c>
      <c r="E83">
        <v>2009</v>
      </c>
      <c r="F83">
        <v>10</v>
      </c>
      <c r="G83">
        <v>324</v>
      </c>
      <c r="H83">
        <v>3609</v>
      </c>
      <c r="I83">
        <v>4215</v>
      </c>
      <c r="J83" s="31">
        <v>0</v>
      </c>
      <c r="K83" s="31">
        <v>721</v>
      </c>
      <c r="L83">
        <v>51758.987999999998</v>
      </c>
      <c r="M83">
        <v>8.1786399999999995E-2</v>
      </c>
      <c r="N83">
        <v>1.1542490000000001</v>
      </c>
      <c r="O83" s="32">
        <f t="shared" si="4"/>
        <v>-2.5036443083647275</v>
      </c>
      <c r="P83" s="32">
        <f t="shared" si="5"/>
        <v>0.14344991604114657</v>
      </c>
      <c r="Q83" s="32">
        <f t="shared" si="6"/>
        <v>0.85622775800711748</v>
      </c>
      <c r="R83" s="32">
        <f t="shared" si="7"/>
        <v>-0.15521886579316721</v>
      </c>
    </row>
    <row r="84" spans="1:18">
      <c r="A84">
        <v>20332</v>
      </c>
      <c r="B84" t="s">
        <v>15</v>
      </c>
      <c r="C84" s="32" t="s">
        <v>33</v>
      </c>
      <c r="D84" t="s">
        <v>9</v>
      </c>
      <c r="E84">
        <v>2009</v>
      </c>
      <c r="F84">
        <v>11</v>
      </c>
      <c r="G84">
        <v>382</v>
      </c>
      <c r="H84">
        <v>4243</v>
      </c>
      <c r="I84">
        <v>4217</v>
      </c>
      <c r="J84" s="31">
        <v>0</v>
      </c>
      <c r="K84" s="31">
        <v>852</v>
      </c>
      <c r="L84">
        <v>51758.987999999998</v>
      </c>
      <c r="M84">
        <v>8.2018800000000003E-2</v>
      </c>
      <c r="N84">
        <v>1.1542490000000001</v>
      </c>
      <c r="O84" s="32">
        <f t="shared" si="4"/>
        <v>-2.5008067897031596</v>
      </c>
      <c r="P84" s="32">
        <f t="shared" si="5"/>
        <v>0.14344991604114657</v>
      </c>
      <c r="Q84" s="32">
        <f t="shared" si="6"/>
        <v>1.0061655205122124</v>
      </c>
      <c r="R84" s="32">
        <f t="shared" si="7"/>
        <v>6.1465914557649404E-3</v>
      </c>
    </row>
    <row r="85" spans="1:18">
      <c r="A85">
        <v>20332</v>
      </c>
      <c r="B85" t="s">
        <v>15</v>
      </c>
      <c r="C85" s="32" t="s">
        <v>33</v>
      </c>
      <c r="D85" t="s">
        <v>9</v>
      </c>
      <c r="E85">
        <v>2009</v>
      </c>
      <c r="F85">
        <v>12</v>
      </c>
      <c r="G85">
        <v>499</v>
      </c>
      <c r="H85">
        <v>5800</v>
      </c>
      <c r="I85">
        <v>4216</v>
      </c>
      <c r="J85" s="31">
        <v>0</v>
      </c>
      <c r="K85" s="31">
        <v>1348</v>
      </c>
      <c r="L85">
        <v>51758.987999999998</v>
      </c>
      <c r="M85">
        <v>7.8378299999999998E-2</v>
      </c>
      <c r="N85">
        <v>1.1542490000000001</v>
      </c>
      <c r="O85" s="32">
        <f t="shared" si="4"/>
        <v>-2.5462081756522963</v>
      </c>
      <c r="P85" s="32">
        <f t="shared" si="5"/>
        <v>0.14344991604114657</v>
      </c>
      <c r="Q85" s="32">
        <f t="shared" si="6"/>
        <v>1.3757115749525617</v>
      </c>
      <c r="R85" s="32">
        <f t="shared" si="7"/>
        <v>0.31897110631331249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5"/>
  <sheetViews>
    <sheetView workbookViewId="0">
      <selection activeCell="K2" sqref="K2:K13"/>
    </sheetView>
  </sheetViews>
  <sheetFormatPr defaultRowHeight="12.75"/>
  <cols>
    <col min="3" max="3" width="9.140625" style="32"/>
    <col min="8" max="8" width="13.5703125" customWidth="1"/>
  </cols>
  <sheetData>
    <row r="1" spans="1:18">
      <c r="A1" t="s">
        <v>16</v>
      </c>
      <c r="B1" t="s">
        <v>1</v>
      </c>
      <c r="C1" s="32" t="s">
        <v>26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2" t="s">
        <v>41</v>
      </c>
      <c r="K1" s="32" t="s">
        <v>42</v>
      </c>
      <c r="L1" s="32" t="s">
        <v>38</v>
      </c>
      <c r="M1" s="32" t="s">
        <v>24</v>
      </c>
      <c r="N1" s="32" t="s">
        <v>25</v>
      </c>
      <c r="O1" s="32" t="s">
        <v>37</v>
      </c>
      <c r="P1" s="32" t="s">
        <v>36</v>
      </c>
      <c r="Q1" s="32" t="s">
        <v>35</v>
      </c>
      <c r="R1" s="32" t="s">
        <v>40</v>
      </c>
    </row>
    <row r="2" spans="1:18">
      <c r="A2">
        <v>2008</v>
      </c>
      <c r="B2" t="s">
        <v>19</v>
      </c>
      <c r="C2" s="32" t="s">
        <v>27</v>
      </c>
      <c r="D2" t="s">
        <v>9</v>
      </c>
      <c r="E2">
        <v>2010</v>
      </c>
      <c r="F2">
        <v>1</v>
      </c>
      <c r="G2">
        <v>669.84500000000003</v>
      </c>
      <c r="H2">
        <v>8183.71</v>
      </c>
      <c r="I2">
        <v>6801</v>
      </c>
      <c r="J2" s="18">
        <v>0</v>
      </c>
      <c r="K2" s="18">
        <v>552</v>
      </c>
      <c r="L2">
        <v>45900.840000000004</v>
      </c>
      <c r="M2">
        <v>7.3055700000000001E-2</v>
      </c>
      <c r="N2">
        <v>0.70421730000000005</v>
      </c>
      <c r="O2">
        <f>LN(M2)</f>
        <v>-2.6165331150820799</v>
      </c>
      <c r="P2">
        <f>LN(N2)</f>
        <v>-0.35066830567853796</v>
      </c>
      <c r="Q2">
        <f>H2/I2</f>
        <v>1.2033098073812674</v>
      </c>
      <c r="R2">
        <f>LN(Q2)</f>
        <v>0.18507593283287696</v>
      </c>
    </row>
    <row r="3" spans="1:18">
      <c r="A3">
        <v>2008</v>
      </c>
      <c r="B3" t="s">
        <v>19</v>
      </c>
      <c r="C3" s="32" t="s">
        <v>27</v>
      </c>
      <c r="D3" t="s">
        <v>9</v>
      </c>
      <c r="E3">
        <v>2010</v>
      </c>
      <c r="F3">
        <v>2</v>
      </c>
      <c r="G3">
        <v>575.02099999999996</v>
      </c>
      <c r="H3">
        <v>7011.16</v>
      </c>
      <c r="I3">
        <v>6761</v>
      </c>
      <c r="J3" s="18">
        <v>0</v>
      </c>
      <c r="K3" s="18">
        <v>397</v>
      </c>
      <c r="L3">
        <v>45900.840000000004</v>
      </c>
      <c r="M3">
        <v>7.3202100000000006E-2</v>
      </c>
      <c r="N3">
        <v>0.70421730000000005</v>
      </c>
      <c r="O3" s="32">
        <f t="shared" ref="O3:O66" si="0">LN(M3)</f>
        <v>-2.6145311699017886</v>
      </c>
      <c r="P3" s="32">
        <f t="shared" ref="P3:P66" si="1">LN(N3)</f>
        <v>-0.35066830567853796</v>
      </c>
      <c r="Q3" s="32">
        <f t="shared" ref="Q3:Q66" si="2">H3/I3</f>
        <v>1.0370004437213429</v>
      </c>
      <c r="R3" s="32">
        <f t="shared" ref="R3:R66" si="3">LN(Q3)</f>
        <v>3.63323571367326E-2</v>
      </c>
    </row>
    <row r="4" spans="1:18">
      <c r="A4">
        <v>2008</v>
      </c>
      <c r="B4" t="s">
        <v>19</v>
      </c>
      <c r="C4" s="32" t="s">
        <v>27</v>
      </c>
      <c r="D4" t="s">
        <v>9</v>
      </c>
      <c r="E4">
        <v>2010</v>
      </c>
      <c r="F4">
        <v>3</v>
      </c>
      <c r="G4">
        <v>525.91</v>
      </c>
      <c r="H4">
        <v>6430.42</v>
      </c>
      <c r="I4">
        <v>6761</v>
      </c>
      <c r="J4" s="18">
        <v>6</v>
      </c>
      <c r="K4" s="18">
        <v>256</v>
      </c>
      <c r="L4">
        <v>45900.840000000004</v>
      </c>
      <c r="M4">
        <v>7.2996500000000006E-2</v>
      </c>
      <c r="N4">
        <v>0.70421730000000005</v>
      </c>
      <c r="O4" s="32">
        <f t="shared" si="0"/>
        <v>-2.6173437841886336</v>
      </c>
      <c r="P4" s="32">
        <f t="shared" si="1"/>
        <v>-0.35066830567853796</v>
      </c>
      <c r="Q4" s="32">
        <f t="shared" si="2"/>
        <v>0.95110486614406153</v>
      </c>
      <c r="R4" s="32">
        <f t="shared" si="3"/>
        <v>-5.0130953174153489E-2</v>
      </c>
    </row>
    <row r="5" spans="1:18">
      <c r="A5">
        <v>2008</v>
      </c>
      <c r="B5" t="s">
        <v>19</v>
      </c>
      <c r="C5" s="32" t="s">
        <v>27</v>
      </c>
      <c r="D5" t="s">
        <v>9</v>
      </c>
      <c r="E5">
        <v>2010</v>
      </c>
      <c r="F5">
        <v>4</v>
      </c>
      <c r="G5">
        <v>455.16399999999999</v>
      </c>
      <c r="H5">
        <v>5531.92</v>
      </c>
      <c r="I5">
        <v>6799</v>
      </c>
      <c r="J5" s="18">
        <v>50</v>
      </c>
      <c r="K5" s="18">
        <v>141</v>
      </c>
      <c r="L5">
        <v>45900.840000000004</v>
      </c>
      <c r="M5">
        <v>7.3438199999999995E-2</v>
      </c>
      <c r="N5">
        <v>0.70421730000000005</v>
      </c>
      <c r="O5" s="32">
        <f t="shared" si="0"/>
        <v>-2.6113110427741937</v>
      </c>
      <c r="P5" s="32">
        <f t="shared" si="1"/>
        <v>-0.35066830567853796</v>
      </c>
      <c r="Q5" s="32">
        <f t="shared" si="2"/>
        <v>0.81363729960288278</v>
      </c>
      <c r="R5" s="32">
        <f t="shared" si="3"/>
        <v>-0.20624059016235641</v>
      </c>
    </row>
    <row r="6" spans="1:18">
      <c r="A6">
        <v>2008</v>
      </c>
      <c r="B6" t="s">
        <v>19</v>
      </c>
      <c r="C6" s="32" t="s">
        <v>27</v>
      </c>
      <c r="D6" t="s">
        <v>9</v>
      </c>
      <c r="E6">
        <v>2010</v>
      </c>
      <c r="F6">
        <v>5</v>
      </c>
      <c r="G6">
        <v>460.125</v>
      </c>
      <c r="H6">
        <v>5599.03</v>
      </c>
      <c r="I6">
        <v>6760</v>
      </c>
      <c r="J6" s="18">
        <v>158</v>
      </c>
      <c r="K6" s="18">
        <v>18</v>
      </c>
      <c r="L6">
        <v>45900.840000000004</v>
      </c>
      <c r="M6">
        <v>7.3348800000000006E-2</v>
      </c>
      <c r="N6">
        <v>0.70421730000000005</v>
      </c>
      <c r="O6" s="32">
        <f t="shared" si="0"/>
        <v>-2.6125291344451718</v>
      </c>
      <c r="P6" s="32">
        <f t="shared" si="1"/>
        <v>-0.35066830567853796</v>
      </c>
      <c r="Q6" s="32">
        <f t="shared" si="2"/>
        <v>0.82825887573964496</v>
      </c>
      <c r="R6" s="32">
        <f t="shared" si="3"/>
        <v>-0.1884295216028104</v>
      </c>
    </row>
    <row r="7" spans="1:18">
      <c r="A7">
        <v>2008</v>
      </c>
      <c r="B7" t="s">
        <v>19</v>
      </c>
      <c r="C7" s="32" t="s">
        <v>27</v>
      </c>
      <c r="D7" t="s">
        <v>9</v>
      </c>
      <c r="E7">
        <v>2010</v>
      </c>
      <c r="F7">
        <v>6</v>
      </c>
      <c r="G7">
        <v>486.20100000000002</v>
      </c>
      <c r="H7">
        <v>5914.46</v>
      </c>
      <c r="I7">
        <v>6747</v>
      </c>
      <c r="J7" s="18">
        <v>613</v>
      </c>
      <c r="K7" s="18">
        <v>0</v>
      </c>
      <c r="L7">
        <v>45900.840000000004</v>
      </c>
      <c r="M7">
        <v>7.3372000000000007E-2</v>
      </c>
      <c r="N7">
        <v>0.70421730000000005</v>
      </c>
      <c r="O7" s="32">
        <f t="shared" si="0"/>
        <v>-2.6122128875300326</v>
      </c>
      <c r="P7" s="32">
        <f t="shared" si="1"/>
        <v>-0.35066830567853796</v>
      </c>
      <c r="Q7" s="32">
        <f t="shared" si="2"/>
        <v>0.87660589891803764</v>
      </c>
      <c r="R7" s="32">
        <f t="shared" si="3"/>
        <v>-0.13169776170448974</v>
      </c>
    </row>
    <row r="8" spans="1:18">
      <c r="A8">
        <v>2008</v>
      </c>
      <c r="B8" t="s">
        <v>19</v>
      </c>
      <c r="C8" s="32" t="s">
        <v>27</v>
      </c>
      <c r="D8" t="s">
        <v>9</v>
      </c>
      <c r="E8">
        <v>2010</v>
      </c>
      <c r="F8">
        <v>7</v>
      </c>
      <c r="G8">
        <v>929.48800000000006</v>
      </c>
      <c r="H8">
        <v>11316.9</v>
      </c>
      <c r="I8">
        <v>6792</v>
      </c>
      <c r="J8" s="18">
        <v>905</v>
      </c>
      <c r="K8" s="18">
        <v>0</v>
      </c>
      <c r="L8">
        <v>45900.840000000004</v>
      </c>
      <c r="M8">
        <v>7.33071E-2</v>
      </c>
      <c r="N8">
        <v>0.70421730000000005</v>
      </c>
      <c r="O8" s="32">
        <f t="shared" si="0"/>
        <v>-2.6130978125702766</v>
      </c>
      <c r="P8" s="32">
        <f t="shared" si="1"/>
        <v>-0.35066830567853796</v>
      </c>
      <c r="Q8" s="32">
        <f t="shared" si="2"/>
        <v>1.6662102473498233</v>
      </c>
      <c r="R8" s="32">
        <f t="shared" si="3"/>
        <v>0.51055173467169068</v>
      </c>
    </row>
    <row r="9" spans="1:18">
      <c r="A9">
        <v>2008</v>
      </c>
      <c r="B9" t="s">
        <v>19</v>
      </c>
      <c r="C9" s="32" t="s">
        <v>27</v>
      </c>
      <c r="D9" t="s">
        <v>9</v>
      </c>
      <c r="E9">
        <v>2010</v>
      </c>
      <c r="F9">
        <v>8</v>
      </c>
      <c r="G9">
        <v>1211.26</v>
      </c>
      <c r="H9">
        <v>14477.4</v>
      </c>
      <c r="I9">
        <v>6774</v>
      </c>
      <c r="J9" s="18">
        <v>755</v>
      </c>
      <c r="K9" s="18">
        <v>0</v>
      </c>
      <c r="L9">
        <v>45900.840000000004</v>
      </c>
      <c r="M9">
        <v>7.4675199999999997E-2</v>
      </c>
      <c r="N9">
        <v>0.70421730000000005</v>
      </c>
      <c r="O9" s="32">
        <f t="shared" si="0"/>
        <v>-2.594607236611036</v>
      </c>
      <c r="P9" s="32">
        <f t="shared" si="1"/>
        <v>-0.35066830567853796</v>
      </c>
      <c r="Q9" s="32">
        <f t="shared" si="2"/>
        <v>2.1372010628875109</v>
      </c>
      <c r="R9" s="32">
        <f t="shared" si="3"/>
        <v>0.75949705842847093</v>
      </c>
    </row>
    <row r="10" spans="1:18">
      <c r="A10">
        <v>2008</v>
      </c>
      <c r="B10" t="s">
        <v>19</v>
      </c>
      <c r="C10" s="32" t="s">
        <v>27</v>
      </c>
      <c r="D10" t="s">
        <v>9</v>
      </c>
      <c r="E10">
        <v>2010</v>
      </c>
      <c r="F10">
        <v>9</v>
      </c>
      <c r="G10">
        <v>1025.54</v>
      </c>
      <c r="H10">
        <v>12460.3</v>
      </c>
      <c r="I10">
        <v>6774</v>
      </c>
      <c r="J10" s="18">
        <v>540</v>
      </c>
      <c r="K10" s="18">
        <v>0</v>
      </c>
      <c r="L10">
        <v>45900.840000000004</v>
      </c>
      <c r="M10">
        <v>7.3460499999999998E-2</v>
      </c>
      <c r="N10">
        <v>0.70421730000000005</v>
      </c>
      <c r="O10" s="32">
        <f t="shared" si="0"/>
        <v>-2.6110074321885142</v>
      </c>
      <c r="P10" s="32">
        <f t="shared" si="1"/>
        <v>-0.35066830567853796</v>
      </c>
      <c r="Q10" s="32">
        <f t="shared" si="2"/>
        <v>1.8394301741954531</v>
      </c>
      <c r="R10" s="32">
        <f t="shared" si="3"/>
        <v>0.60945583572042861</v>
      </c>
    </row>
    <row r="11" spans="1:18">
      <c r="A11">
        <v>2008</v>
      </c>
      <c r="B11" t="s">
        <v>19</v>
      </c>
      <c r="C11" s="32" t="s">
        <v>27</v>
      </c>
      <c r="D11" t="s">
        <v>9</v>
      </c>
      <c r="E11">
        <v>2010</v>
      </c>
      <c r="F11">
        <v>10</v>
      </c>
      <c r="G11">
        <v>787.10699999999997</v>
      </c>
      <c r="H11">
        <v>9674.1299999999992</v>
      </c>
      <c r="I11">
        <v>6828</v>
      </c>
      <c r="J11" s="18">
        <v>148</v>
      </c>
      <c r="K11" s="18">
        <v>50</v>
      </c>
      <c r="L11">
        <v>45900.840000000004</v>
      </c>
      <c r="M11">
        <v>7.2619199999999995E-2</v>
      </c>
      <c r="N11">
        <v>0.70421730000000005</v>
      </c>
      <c r="O11" s="32">
        <f t="shared" si="0"/>
        <v>-2.6225259293055938</v>
      </c>
      <c r="P11" s="32">
        <f t="shared" si="1"/>
        <v>-0.35066830567853796</v>
      </c>
      <c r="Q11" s="32">
        <f t="shared" si="2"/>
        <v>1.4168321616871704</v>
      </c>
      <c r="R11" s="32">
        <f t="shared" si="3"/>
        <v>0.34842350745976247</v>
      </c>
    </row>
    <row r="12" spans="1:18">
      <c r="A12">
        <v>2008</v>
      </c>
      <c r="B12" t="s">
        <v>19</v>
      </c>
      <c r="C12" s="32" t="s">
        <v>27</v>
      </c>
      <c r="D12" t="s">
        <v>9</v>
      </c>
      <c r="E12">
        <v>2010</v>
      </c>
      <c r="F12">
        <v>11</v>
      </c>
      <c r="G12">
        <v>505.11799999999999</v>
      </c>
      <c r="H12">
        <v>6167.97</v>
      </c>
      <c r="I12">
        <v>6755</v>
      </c>
      <c r="J12" s="18">
        <v>15</v>
      </c>
      <c r="K12" s="18">
        <v>344</v>
      </c>
      <c r="L12">
        <v>45900.840000000004</v>
      </c>
      <c r="M12">
        <v>7.30938E-2</v>
      </c>
      <c r="N12">
        <v>0.70421730000000005</v>
      </c>
      <c r="O12" s="32">
        <f t="shared" si="0"/>
        <v>-2.6160117311449045</v>
      </c>
      <c r="P12" s="32">
        <f t="shared" si="1"/>
        <v>-0.35066830567853796</v>
      </c>
      <c r="Q12" s="32">
        <f t="shared" si="2"/>
        <v>0.91309696521095485</v>
      </c>
      <c r="R12" s="32">
        <f t="shared" si="3"/>
        <v>-9.0913198976191767E-2</v>
      </c>
    </row>
    <row r="13" spans="1:18">
      <c r="A13">
        <v>2008</v>
      </c>
      <c r="B13" t="s">
        <v>19</v>
      </c>
      <c r="C13" s="32" t="s">
        <v>27</v>
      </c>
      <c r="D13" t="s">
        <v>9</v>
      </c>
      <c r="E13">
        <v>2010</v>
      </c>
      <c r="F13">
        <v>12</v>
      </c>
      <c r="G13">
        <v>474.798</v>
      </c>
      <c r="H13">
        <v>5762.27</v>
      </c>
      <c r="I13">
        <v>6762</v>
      </c>
      <c r="J13" s="18">
        <v>0</v>
      </c>
      <c r="K13" s="18">
        <v>479</v>
      </c>
      <c r="L13">
        <v>45900.840000000004</v>
      </c>
      <c r="M13">
        <v>7.3543600000000001E-2</v>
      </c>
      <c r="N13">
        <v>0.70421730000000005</v>
      </c>
      <c r="O13" s="32">
        <f t="shared" si="0"/>
        <v>-2.6098768513563928</v>
      </c>
      <c r="P13" s="32">
        <f t="shared" si="1"/>
        <v>-0.35066830567853796</v>
      </c>
      <c r="Q13" s="32">
        <f t="shared" si="2"/>
        <v>0.85215468796214144</v>
      </c>
      <c r="R13" s="32">
        <f t="shared" si="3"/>
        <v>-0.15998720999158564</v>
      </c>
    </row>
    <row r="14" spans="1:18">
      <c r="A14">
        <v>13073</v>
      </c>
      <c r="B14" t="s">
        <v>10</v>
      </c>
      <c r="C14" s="32" t="s">
        <v>28</v>
      </c>
      <c r="D14" t="s">
        <v>9</v>
      </c>
      <c r="E14">
        <v>2010</v>
      </c>
      <c r="F14">
        <v>1</v>
      </c>
      <c r="G14">
        <v>673.66899999999998</v>
      </c>
      <c r="H14">
        <v>11174.9</v>
      </c>
      <c r="I14">
        <v>4977</v>
      </c>
      <c r="J14" s="13">
        <v>0</v>
      </c>
      <c r="K14" s="13">
        <v>1335</v>
      </c>
      <c r="L14">
        <v>44070.3</v>
      </c>
      <c r="M14">
        <v>5.3806199999999998E-2</v>
      </c>
      <c r="N14">
        <v>0.96930300000000003</v>
      </c>
      <c r="O14" s="32">
        <f t="shared" si="0"/>
        <v>-2.9223665768185176</v>
      </c>
      <c r="P14" s="32">
        <f t="shared" si="1"/>
        <v>-3.1178022471341722E-2</v>
      </c>
      <c r="Q14" s="32">
        <f t="shared" si="2"/>
        <v>2.2453084187261401</v>
      </c>
      <c r="R14" s="32">
        <f t="shared" si="3"/>
        <v>0.80884289203731552</v>
      </c>
    </row>
    <row r="15" spans="1:18">
      <c r="A15">
        <v>13073</v>
      </c>
      <c r="B15" t="s">
        <v>10</v>
      </c>
      <c r="C15" s="32" t="s">
        <v>28</v>
      </c>
      <c r="D15" t="s">
        <v>9</v>
      </c>
      <c r="E15">
        <v>2010</v>
      </c>
      <c r="F15">
        <v>2</v>
      </c>
      <c r="G15">
        <v>570.45299999999997</v>
      </c>
      <c r="H15">
        <v>9045.77</v>
      </c>
      <c r="I15">
        <v>4981</v>
      </c>
      <c r="J15" s="13">
        <v>0</v>
      </c>
      <c r="K15" s="13">
        <v>1051</v>
      </c>
      <c r="L15">
        <v>44070.3</v>
      </c>
      <c r="M15">
        <v>5.6286500000000003E-2</v>
      </c>
      <c r="N15">
        <v>0.96930300000000003</v>
      </c>
      <c r="O15" s="32">
        <f t="shared" si="0"/>
        <v>-2.877300559446085</v>
      </c>
      <c r="P15" s="32">
        <f t="shared" si="1"/>
        <v>-3.1178022471341722E-2</v>
      </c>
      <c r="Q15" s="32">
        <f t="shared" si="2"/>
        <v>1.8160550090343306</v>
      </c>
      <c r="R15" s="32">
        <f t="shared" si="3"/>
        <v>0.59666657103879284</v>
      </c>
    </row>
    <row r="16" spans="1:18">
      <c r="A16">
        <v>13073</v>
      </c>
      <c r="B16" t="s">
        <v>10</v>
      </c>
      <c r="C16" s="32" t="s">
        <v>28</v>
      </c>
      <c r="D16" t="s">
        <v>9</v>
      </c>
      <c r="E16">
        <v>2010</v>
      </c>
      <c r="F16">
        <v>3</v>
      </c>
      <c r="G16">
        <v>510.17899999999997</v>
      </c>
      <c r="H16">
        <v>7817.89</v>
      </c>
      <c r="I16">
        <v>4975</v>
      </c>
      <c r="J16" s="13">
        <v>0</v>
      </c>
      <c r="K16" s="13">
        <v>932</v>
      </c>
      <c r="L16">
        <v>44070.3</v>
      </c>
      <c r="M16">
        <v>5.8245600000000002E-2</v>
      </c>
      <c r="N16">
        <v>0.96930300000000003</v>
      </c>
      <c r="O16" s="32">
        <f t="shared" si="0"/>
        <v>-2.8430867258700374</v>
      </c>
      <c r="P16" s="32">
        <f t="shared" si="1"/>
        <v>-3.1178022471341722E-2</v>
      </c>
      <c r="Q16" s="32">
        <f t="shared" si="2"/>
        <v>1.571435175879397</v>
      </c>
      <c r="R16" s="32">
        <f t="shared" si="3"/>
        <v>0.45198932656656887</v>
      </c>
    </row>
    <row r="17" spans="1:18">
      <c r="A17">
        <v>13073</v>
      </c>
      <c r="B17" t="s">
        <v>10</v>
      </c>
      <c r="C17" s="32" t="s">
        <v>28</v>
      </c>
      <c r="D17" t="s">
        <v>9</v>
      </c>
      <c r="E17">
        <v>2010</v>
      </c>
      <c r="F17">
        <v>4</v>
      </c>
      <c r="G17">
        <v>498.20699999999999</v>
      </c>
      <c r="H17">
        <v>7553.94</v>
      </c>
      <c r="I17">
        <v>4968</v>
      </c>
      <c r="J17" s="13">
        <v>0</v>
      </c>
      <c r="K17" s="13">
        <v>770</v>
      </c>
      <c r="L17">
        <v>44070.3</v>
      </c>
      <c r="M17">
        <v>5.88662E-2</v>
      </c>
      <c r="N17">
        <v>0.96930300000000003</v>
      </c>
      <c r="O17" s="32">
        <f t="shared" si="0"/>
        <v>-2.8324882070316288</v>
      </c>
      <c r="P17" s="32">
        <f t="shared" si="1"/>
        <v>-3.1178022471341722E-2</v>
      </c>
      <c r="Q17" s="32">
        <f t="shared" si="2"/>
        <v>1.5205193236714976</v>
      </c>
      <c r="R17" s="32">
        <f t="shared" si="3"/>
        <v>0.41905193681578778</v>
      </c>
    </row>
    <row r="18" spans="1:18">
      <c r="A18">
        <v>13073</v>
      </c>
      <c r="B18" t="s">
        <v>10</v>
      </c>
      <c r="C18" s="32" t="s">
        <v>28</v>
      </c>
      <c r="D18" t="s">
        <v>9</v>
      </c>
      <c r="E18">
        <v>2010</v>
      </c>
      <c r="F18">
        <v>5</v>
      </c>
      <c r="G18">
        <v>426.49200000000002</v>
      </c>
      <c r="H18">
        <v>6099.81</v>
      </c>
      <c r="I18">
        <v>4977</v>
      </c>
      <c r="J18" s="13">
        <v>0</v>
      </c>
      <c r="K18" s="13">
        <v>633</v>
      </c>
      <c r="L18">
        <v>44070.3</v>
      </c>
      <c r="M18">
        <v>6.2405700000000001E-2</v>
      </c>
      <c r="N18">
        <v>0.96930300000000003</v>
      </c>
      <c r="O18" s="32">
        <f t="shared" si="0"/>
        <v>-2.774098661624715</v>
      </c>
      <c r="P18" s="32">
        <f t="shared" si="1"/>
        <v>-3.1178022471341722E-2</v>
      </c>
      <c r="Q18" s="32">
        <f t="shared" si="2"/>
        <v>1.2255997588908982</v>
      </c>
      <c r="R18" s="32">
        <f t="shared" si="3"/>
        <v>0.20343032327677019</v>
      </c>
    </row>
    <row r="19" spans="1:18">
      <c r="A19">
        <v>13073</v>
      </c>
      <c r="B19" t="s">
        <v>10</v>
      </c>
      <c r="C19" s="32" t="s">
        <v>28</v>
      </c>
      <c r="D19" t="s">
        <v>9</v>
      </c>
      <c r="E19">
        <v>2010</v>
      </c>
      <c r="F19">
        <v>6</v>
      </c>
      <c r="G19">
        <v>368.51600000000002</v>
      </c>
      <c r="H19">
        <v>4930.63</v>
      </c>
      <c r="I19">
        <v>4983</v>
      </c>
      <c r="J19" s="13">
        <v>29</v>
      </c>
      <c r="K19" s="13">
        <v>153</v>
      </c>
      <c r="L19">
        <v>44070.3</v>
      </c>
      <c r="M19">
        <v>6.6708900000000002E-2</v>
      </c>
      <c r="N19">
        <v>0.96930300000000003</v>
      </c>
      <c r="O19" s="32">
        <f t="shared" si="0"/>
        <v>-2.7074169016786294</v>
      </c>
      <c r="P19" s="32">
        <f t="shared" si="1"/>
        <v>-3.1178022471341722E-2</v>
      </c>
      <c r="Q19" s="32">
        <f t="shared" si="2"/>
        <v>0.98949026690748543</v>
      </c>
      <c r="R19" s="32">
        <f t="shared" si="3"/>
        <v>-1.0565350362340341E-2</v>
      </c>
    </row>
    <row r="20" spans="1:18">
      <c r="A20">
        <v>13073</v>
      </c>
      <c r="B20" t="s">
        <v>10</v>
      </c>
      <c r="C20" s="32" t="s">
        <v>28</v>
      </c>
      <c r="D20" t="s">
        <v>9</v>
      </c>
      <c r="E20">
        <v>2010</v>
      </c>
      <c r="F20">
        <v>7</v>
      </c>
      <c r="G20">
        <v>290.41899999999998</v>
      </c>
      <c r="H20">
        <v>3478.93</v>
      </c>
      <c r="I20">
        <v>4983</v>
      </c>
      <c r="J20" s="13">
        <v>136</v>
      </c>
      <c r="K20" s="13">
        <v>16</v>
      </c>
      <c r="L20">
        <v>44070.3</v>
      </c>
      <c r="M20">
        <v>7.4509099999999995E-2</v>
      </c>
      <c r="N20">
        <v>0.96930300000000003</v>
      </c>
      <c r="O20" s="32">
        <f t="shared" si="0"/>
        <v>-2.5968340134050334</v>
      </c>
      <c r="P20" s="32">
        <f t="shared" si="1"/>
        <v>-3.1178022471341722E-2</v>
      </c>
      <c r="Q20" s="32">
        <f t="shared" si="2"/>
        <v>0.69815974312663054</v>
      </c>
      <c r="R20" s="32">
        <f t="shared" si="3"/>
        <v>-0.3593073440562331</v>
      </c>
    </row>
    <row r="21" spans="1:18">
      <c r="A21">
        <v>13073</v>
      </c>
      <c r="B21" t="s">
        <v>10</v>
      </c>
      <c r="C21" s="32" t="s">
        <v>28</v>
      </c>
      <c r="D21" t="s">
        <v>9</v>
      </c>
      <c r="E21">
        <v>2010</v>
      </c>
      <c r="F21">
        <v>8</v>
      </c>
      <c r="G21">
        <v>315.93799999999999</v>
      </c>
      <c r="H21">
        <v>3897.11</v>
      </c>
      <c r="I21">
        <v>4990</v>
      </c>
      <c r="J21" s="13">
        <v>101</v>
      </c>
      <c r="K21" s="13">
        <v>53</v>
      </c>
      <c r="L21">
        <v>44070.3</v>
      </c>
      <c r="M21">
        <v>7.2358400000000003E-2</v>
      </c>
      <c r="N21">
        <v>0.96930300000000003</v>
      </c>
      <c r="O21" s="32">
        <f t="shared" si="0"/>
        <v>-2.6261237303634117</v>
      </c>
      <c r="P21" s="32">
        <f t="shared" si="1"/>
        <v>-3.1178022471341722E-2</v>
      </c>
      <c r="Q21" s="32">
        <f t="shared" si="2"/>
        <v>0.78098396793587177</v>
      </c>
      <c r="R21" s="32">
        <f t="shared" si="3"/>
        <v>-0.24720065696406501</v>
      </c>
    </row>
    <row r="22" spans="1:18">
      <c r="A22">
        <v>13073</v>
      </c>
      <c r="B22" t="s">
        <v>10</v>
      </c>
      <c r="C22" s="32" t="s">
        <v>28</v>
      </c>
      <c r="D22" t="s">
        <v>9</v>
      </c>
      <c r="E22">
        <v>2010</v>
      </c>
      <c r="F22">
        <v>9</v>
      </c>
      <c r="G22">
        <v>286.98</v>
      </c>
      <c r="H22">
        <v>3408.96</v>
      </c>
      <c r="I22">
        <v>4976</v>
      </c>
      <c r="J22" s="13">
        <v>5</v>
      </c>
      <c r="K22" s="13">
        <v>176</v>
      </c>
      <c r="L22">
        <v>44070.3</v>
      </c>
      <c r="M22">
        <v>7.5137999999999996E-2</v>
      </c>
      <c r="N22">
        <v>0.96930300000000003</v>
      </c>
      <c r="O22" s="32">
        <f t="shared" si="0"/>
        <v>-2.5884288561721869</v>
      </c>
      <c r="P22" s="32">
        <f t="shared" si="1"/>
        <v>-3.1178022471341722E-2</v>
      </c>
      <c r="Q22" s="32">
        <f t="shared" si="2"/>
        <v>0.68508038585209008</v>
      </c>
      <c r="R22" s="32">
        <f t="shared" si="3"/>
        <v>-0.37821909599618253</v>
      </c>
    </row>
    <row r="23" spans="1:18">
      <c r="A23">
        <v>13073</v>
      </c>
      <c r="B23" t="s">
        <v>10</v>
      </c>
      <c r="C23" s="32" t="s">
        <v>28</v>
      </c>
      <c r="D23" t="s">
        <v>9</v>
      </c>
      <c r="E23">
        <v>2010</v>
      </c>
      <c r="F23">
        <v>10</v>
      </c>
      <c r="G23">
        <v>287.58</v>
      </c>
      <c r="H23">
        <v>3426.18</v>
      </c>
      <c r="I23">
        <v>4988</v>
      </c>
      <c r="J23" s="13">
        <v>0</v>
      </c>
      <c r="K23" s="13">
        <v>515</v>
      </c>
      <c r="L23">
        <v>44070.3</v>
      </c>
      <c r="M23">
        <v>7.49166E-2</v>
      </c>
      <c r="N23">
        <v>0.96930300000000003</v>
      </c>
      <c r="O23" s="32">
        <f t="shared" si="0"/>
        <v>-2.5913797841765547</v>
      </c>
      <c r="P23" s="32">
        <f t="shared" si="1"/>
        <v>-3.1178022471341722E-2</v>
      </c>
      <c r="Q23" s="32">
        <f t="shared" si="2"/>
        <v>0.68688452285485158</v>
      </c>
      <c r="R23" s="32">
        <f t="shared" si="3"/>
        <v>-0.37558908989145473</v>
      </c>
    </row>
    <row r="24" spans="1:18">
      <c r="A24">
        <v>13073</v>
      </c>
      <c r="B24" t="s">
        <v>10</v>
      </c>
      <c r="C24" s="32" t="s">
        <v>28</v>
      </c>
      <c r="D24" t="s">
        <v>9</v>
      </c>
      <c r="E24">
        <v>2010</v>
      </c>
      <c r="F24">
        <v>11</v>
      </c>
      <c r="G24">
        <v>363.55599999999998</v>
      </c>
      <c r="H24">
        <v>4843.37</v>
      </c>
      <c r="I24">
        <v>4988</v>
      </c>
      <c r="J24" s="13">
        <v>0</v>
      </c>
      <c r="K24" s="13">
        <v>1010</v>
      </c>
      <c r="L24">
        <v>44070.3</v>
      </c>
      <c r="M24">
        <v>6.6996700000000006E-2</v>
      </c>
      <c r="N24">
        <v>0.96930300000000003</v>
      </c>
      <c r="O24" s="32">
        <f t="shared" si="0"/>
        <v>-2.7031119145355191</v>
      </c>
      <c r="P24" s="32">
        <f t="shared" si="1"/>
        <v>-3.1178022471341722E-2</v>
      </c>
      <c r="Q24" s="32">
        <f t="shared" si="2"/>
        <v>0.97100441058540499</v>
      </c>
      <c r="R24" s="32">
        <f t="shared" si="3"/>
        <v>-2.9424268388661894E-2</v>
      </c>
    </row>
    <row r="25" spans="1:18">
      <c r="A25">
        <v>13073</v>
      </c>
      <c r="B25" t="s">
        <v>10</v>
      </c>
      <c r="C25" s="32" t="s">
        <v>28</v>
      </c>
      <c r="D25" t="s">
        <v>9</v>
      </c>
      <c r="E25">
        <v>2010</v>
      </c>
      <c r="F25">
        <v>12</v>
      </c>
      <c r="G25">
        <v>552.57299999999998</v>
      </c>
      <c r="H25">
        <v>8625.6200000000008</v>
      </c>
      <c r="I25">
        <v>4984</v>
      </c>
      <c r="J25" s="13">
        <v>0</v>
      </c>
      <c r="K25" s="13">
        <v>1099</v>
      </c>
      <c r="L25">
        <v>44070.3</v>
      </c>
      <c r="M25">
        <v>5.7178E-2</v>
      </c>
      <c r="N25">
        <v>0.96930300000000003</v>
      </c>
      <c r="O25" s="32">
        <f t="shared" si="0"/>
        <v>-2.861586069964468</v>
      </c>
      <c r="P25" s="32">
        <f t="shared" si="1"/>
        <v>-3.1178022471341722E-2</v>
      </c>
      <c r="Q25" s="32">
        <f t="shared" si="2"/>
        <v>1.7306621187800966</v>
      </c>
      <c r="R25" s="32">
        <f t="shared" si="3"/>
        <v>0.5485040629067075</v>
      </c>
    </row>
    <row r="26" spans="1:18">
      <c r="A26">
        <v>13407</v>
      </c>
      <c r="B26" t="s">
        <v>11</v>
      </c>
      <c r="C26" s="32" t="s">
        <v>29</v>
      </c>
      <c r="D26" t="s">
        <v>9</v>
      </c>
      <c r="E26">
        <v>2010</v>
      </c>
      <c r="F26">
        <v>1</v>
      </c>
      <c r="G26" s="32">
        <v>73898</v>
      </c>
      <c r="H26" s="32">
        <v>601883</v>
      </c>
      <c r="I26" s="32">
        <v>722207</v>
      </c>
      <c r="J26" s="18">
        <v>0</v>
      </c>
      <c r="K26" s="18">
        <v>497</v>
      </c>
      <c r="L26">
        <v>45326.112000000001</v>
      </c>
      <c r="M26" s="34">
        <v>0.1095848</v>
      </c>
      <c r="N26">
        <v>0.70421730000000005</v>
      </c>
      <c r="O26" s="32">
        <f t="shared" si="0"/>
        <v>-2.2110566002174195</v>
      </c>
      <c r="P26" s="32">
        <f t="shared" si="1"/>
        <v>-0.35066830567853796</v>
      </c>
      <c r="Q26" s="32">
        <f t="shared" si="2"/>
        <v>0.83339402692025966</v>
      </c>
      <c r="R26" s="32">
        <f t="shared" si="3"/>
        <v>-0.18224872714178655</v>
      </c>
    </row>
    <row r="27" spans="1:18">
      <c r="A27">
        <v>13407</v>
      </c>
      <c r="B27" t="s">
        <v>11</v>
      </c>
      <c r="C27" s="32" t="s">
        <v>29</v>
      </c>
      <c r="D27" t="s">
        <v>9</v>
      </c>
      <c r="E27">
        <v>2010</v>
      </c>
      <c r="F27">
        <v>2</v>
      </c>
      <c r="G27" s="32">
        <v>63045</v>
      </c>
      <c r="H27" s="32">
        <v>463905</v>
      </c>
      <c r="I27" s="32">
        <v>723753</v>
      </c>
      <c r="J27" s="18">
        <v>0</v>
      </c>
      <c r="K27" s="18">
        <v>342</v>
      </c>
      <c r="L27">
        <v>45326.112000000001</v>
      </c>
      <c r="M27" s="34">
        <v>0.1212974</v>
      </c>
      <c r="N27">
        <v>0.70421730000000005</v>
      </c>
      <c r="O27" s="32">
        <f t="shared" si="0"/>
        <v>-2.1095098977218703</v>
      </c>
      <c r="P27" s="32">
        <f t="shared" si="1"/>
        <v>-0.35066830567853796</v>
      </c>
      <c r="Q27" s="32">
        <f t="shared" si="2"/>
        <v>0.6409714363878285</v>
      </c>
      <c r="R27" s="32">
        <f t="shared" si="3"/>
        <v>-0.44477038407176689</v>
      </c>
    </row>
    <row r="28" spans="1:18">
      <c r="A28">
        <v>13407</v>
      </c>
      <c r="B28" t="s">
        <v>11</v>
      </c>
      <c r="C28" s="32" t="s">
        <v>29</v>
      </c>
      <c r="D28" t="s">
        <v>9</v>
      </c>
      <c r="E28">
        <v>2010</v>
      </c>
      <c r="F28">
        <v>3</v>
      </c>
      <c r="G28" s="32">
        <v>59649</v>
      </c>
      <c r="H28" s="32">
        <v>453097</v>
      </c>
      <c r="I28" s="32">
        <v>727145</v>
      </c>
      <c r="J28" s="18">
        <v>11</v>
      </c>
      <c r="K28" s="18">
        <v>212</v>
      </c>
      <c r="L28">
        <v>45326.112000000001</v>
      </c>
      <c r="M28" s="34">
        <v>0.11750099999999999</v>
      </c>
      <c r="N28">
        <v>0.70421730000000005</v>
      </c>
      <c r="O28" s="32">
        <f t="shared" si="0"/>
        <v>-2.1413084347958407</v>
      </c>
      <c r="P28" s="32">
        <f t="shared" si="1"/>
        <v>-0.35066830567853796</v>
      </c>
      <c r="Q28" s="32">
        <f t="shared" si="2"/>
        <v>0.62311781006539269</v>
      </c>
      <c r="R28" s="32">
        <f t="shared" si="3"/>
        <v>-0.47301967684350782</v>
      </c>
    </row>
    <row r="29" spans="1:18">
      <c r="A29">
        <v>13407</v>
      </c>
      <c r="B29" t="s">
        <v>11</v>
      </c>
      <c r="C29" s="32" t="s">
        <v>29</v>
      </c>
      <c r="D29" t="s">
        <v>9</v>
      </c>
      <c r="E29">
        <v>2010</v>
      </c>
      <c r="F29">
        <v>4</v>
      </c>
      <c r="G29" s="32">
        <v>55194</v>
      </c>
      <c r="H29" s="32">
        <v>410135</v>
      </c>
      <c r="I29" s="32">
        <v>722746</v>
      </c>
      <c r="J29" s="18">
        <v>84</v>
      </c>
      <c r="K29" s="18">
        <v>106</v>
      </c>
      <c r="L29">
        <v>45326.112000000001</v>
      </c>
      <c r="M29" s="34">
        <v>0.12011429999999999</v>
      </c>
      <c r="N29">
        <v>0.70421730000000005</v>
      </c>
      <c r="O29" s="32">
        <f t="shared" si="0"/>
        <v>-2.119311489540368</v>
      </c>
      <c r="P29" s="32">
        <f t="shared" si="1"/>
        <v>-0.35066830567853796</v>
      </c>
      <c r="Q29" s="32">
        <f t="shared" si="2"/>
        <v>0.56746768574298578</v>
      </c>
      <c r="R29" s="32">
        <f t="shared" si="3"/>
        <v>-0.56657147266985508</v>
      </c>
    </row>
    <row r="30" spans="1:18">
      <c r="A30">
        <v>13407</v>
      </c>
      <c r="B30" t="s">
        <v>11</v>
      </c>
      <c r="C30" s="32" t="s">
        <v>29</v>
      </c>
      <c r="D30" t="s">
        <v>9</v>
      </c>
      <c r="E30">
        <v>2010</v>
      </c>
      <c r="F30">
        <v>5</v>
      </c>
      <c r="G30" s="32">
        <v>67524</v>
      </c>
      <c r="H30" s="32">
        <v>514806</v>
      </c>
      <c r="I30" s="32">
        <v>726402</v>
      </c>
      <c r="J30" s="18">
        <v>227</v>
      </c>
      <c r="K30" s="18">
        <v>13</v>
      </c>
      <c r="L30">
        <v>45326.112000000001</v>
      </c>
      <c r="M30" s="34">
        <v>0.1170696</v>
      </c>
      <c r="N30">
        <v>0.70421730000000005</v>
      </c>
      <c r="O30" s="32">
        <f t="shared" si="0"/>
        <v>-2.1449866492555971</v>
      </c>
      <c r="P30" s="32">
        <f t="shared" si="1"/>
        <v>-0.35066830567853796</v>
      </c>
      <c r="Q30" s="32">
        <f t="shared" si="2"/>
        <v>0.70870674915542631</v>
      </c>
      <c r="R30" s="32">
        <f t="shared" si="3"/>
        <v>-0.3443134499215505</v>
      </c>
    </row>
    <row r="31" spans="1:18">
      <c r="A31">
        <v>13407</v>
      </c>
      <c r="B31" t="s">
        <v>11</v>
      </c>
      <c r="C31" s="32" t="s">
        <v>29</v>
      </c>
      <c r="D31" t="s">
        <v>9</v>
      </c>
      <c r="E31">
        <v>2010</v>
      </c>
      <c r="F31">
        <v>6</v>
      </c>
      <c r="G31" s="32">
        <v>119577</v>
      </c>
      <c r="H31" s="32">
        <v>960837</v>
      </c>
      <c r="I31" s="32">
        <v>728748</v>
      </c>
      <c r="J31" s="18">
        <v>684</v>
      </c>
      <c r="K31" s="18">
        <v>0</v>
      </c>
      <c r="L31">
        <v>45326.112000000001</v>
      </c>
      <c r="M31" s="34">
        <v>0.11107789999999999</v>
      </c>
      <c r="N31">
        <v>0.70421730000000005</v>
      </c>
      <c r="O31" s="32">
        <f t="shared" si="0"/>
        <v>-2.1975235220157279</v>
      </c>
      <c r="P31" s="32">
        <f t="shared" si="1"/>
        <v>-0.35066830567853796</v>
      </c>
      <c r="Q31" s="32">
        <f t="shared" si="2"/>
        <v>1.3184763457326814</v>
      </c>
      <c r="R31" s="32">
        <f t="shared" si="3"/>
        <v>0.27647678636410283</v>
      </c>
    </row>
    <row r="32" spans="1:18">
      <c r="A32">
        <v>13407</v>
      </c>
      <c r="B32" t="s">
        <v>11</v>
      </c>
      <c r="C32" s="32" t="s">
        <v>29</v>
      </c>
      <c r="D32" t="s">
        <v>9</v>
      </c>
      <c r="E32">
        <v>2010</v>
      </c>
      <c r="F32">
        <v>7</v>
      </c>
      <c r="G32" s="32">
        <v>179084</v>
      </c>
      <c r="H32" s="32">
        <v>1478816</v>
      </c>
      <c r="I32" s="32">
        <v>728591</v>
      </c>
      <c r="J32" s="18">
        <v>976</v>
      </c>
      <c r="K32" s="18">
        <v>0</v>
      </c>
      <c r="L32">
        <v>45326.112000000001</v>
      </c>
      <c r="M32" s="34">
        <v>0.10808669999999999</v>
      </c>
      <c r="N32">
        <v>0.70421730000000005</v>
      </c>
      <c r="O32" s="32">
        <f t="shared" si="0"/>
        <v>-2.2248215961338729</v>
      </c>
      <c r="P32" s="32">
        <f t="shared" si="1"/>
        <v>-0.35066830567853796</v>
      </c>
      <c r="Q32" s="32">
        <f t="shared" si="2"/>
        <v>2.0296929278566438</v>
      </c>
      <c r="R32" s="32">
        <f t="shared" si="3"/>
        <v>0.70788451454598678</v>
      </c>
    </row>
    <row r="33" spans="1:18">
      <c r="A33">
        <v>13407</v>
      </c>
      <c r="B33" t="s">
        <v>11</v>
      </c>
      <c r="C33" s="32" t="s">
        <v>29</v>
      </c>
      <c r="D33" t="s">
        <v>9</v>
      </c>
      <c r="E33">
        <v>2010</v>
      </c>
      <c r="F33">
        <v>8</v>
      </c>
      <c r="G33" s="32">
        <v>167485</v>
      </c>
      <c r="H33" s="32">
        <v>1366573</v>
      </c>
      <c r="I33" s="32">
        <v>731284</v>
      </c>
      <c r="J33" s="18">
        <v>827</v>
      </c>
      <c r="K33" s="18">
        <v>0</v>
      </c>
      <c r="L33">
        <v>45326.112000000001</v>
      </c>
      <c r="M33" s="34">
        <v>0.10938879999999999</v>
      </c>
      <c r="N33">
        <v>0.70421730000000005</v>
      </c>
      <c r="O33" s="32">
        <f t="shared" si="0"/>
        <v>-2.2128467708347324</v>
      </c>
      <c r="P33" s="32">
        <f t="shared" si="1"/>
        <v>-0.35066830567853796</v>
      </c>
      <c r="Q33" s="32">
        <f t="shared" si="2"/>
        <v>1.8687308897774326</v>
      </c>
      <c r="R33" s="32">
        <f t="shared" si="3"/>
        <v>0.62525953189851535</v>
      </c>
    </row>
    <row r="34" spans="1:18">
      <c r="A34">
        <v>13407</v>
      </c>
      <c r="B34" t="s">
        <v>11</v>
      </c>
      <c r="C34" s="32" t="s">
        <v>29</v>
      </c>
      <c r="D34" t="s">
        <v>9</v>
      </c>
      <c r="E34">
        <v>2010</v>
      </c>
      <c r="F34">
        <v>9</v>
      </c>
      <c r="G34" s="32">
        <v>113966</v>
      </c>
      <c r="H34" s="32">
        <v>912199</v>
      </c>
      <c r="I34" s="32">
        <v>732544</v>
      </c>
      <c r="J34" s="18">
        <v>609</v>
      </c>
      <c r="K34" s="18">
        <v>0</v>
      </c>
      <c r="L34">
        <v>45326.112000000001</v>
      </c>
      <c r="M34" s="34">
        <v>0.1115104</v>
      </c>
      <c r="N34">
        <v>0.70421730000000005</v>
      </c>
      <c r="O34" s="32">
        <f t="shared" si="0"/>
        <v>-2.193637418889069</v>
      </c>
      <c r="P34" s="32">
        <f t="shared" si="1"/>
        <v>-0.35066830567853796</v>
      </c>
      <c r="Q34" s="32">
        <f t="shared" si="2"/>
        <v>1.2452480670103092</v>
      </c>
      <c r="R34" s="32">
        <f t="shared" si="3"/>
        <v>0.21933476067959454</v>
      </c>
    </row>
    <row r="35" spans="1:18">
      <c r="A35">
        <v>13407</v>
      </c>
      <c r="B35" t="s">
        <v>11</v>
      </c>
      <c r="C35" s="32" t="s">
        <v>29</v>
      </c>
      <c r="D35" t="s">
        <v>9</v>
      </c>
      <c r="E35">
        <v>2010</v>
      </c>
      <c r="F35">
        <v>10</v>
      </c>
      <c r="G35" s="32">
        <v>73246</v>
      </c>
      <c r="H35" s="32">
        <v>594443</v>
      </c>
      <c r="I35" s="32">
        <v>730456</v>
      </c>
      <c r="J35" s="18">
        <v>199</v>
      </c>
      <c r="K35" s="18">
        <v>25</v>
      </c>
      <c r="L35">
        <v>45326.112000000001</v>
      </c>
      <c r="M35" s="34">
        <v>0.1099774</v>
      </c>
      <c r="N35">
        <v>0.70421730000000005</v>
      </c>
      <c r="O35" s="32">
        <f t="shared" si="0"/>
        <v>-2.2074803888438517</v>
      </c>
      <c r="P35" s="32">
        <f t="shared" si="1"/>
        <v>-0.35066830567853796</v>
      </c>
      <c r="Q35" s="32">
        <f t="shared" si="2"/>
        <v>0.81379713494036598</v>
      </c>
      <c r="R35" s="32">
        <f t="shared" si="3"/>
        <v>-0.20604416401503578</v>
      </c>
    </row>
    <row r="36" spans="1:18">
      <c r="A36">
        <v>13407</v>
      </c>
      <c r="B36" t="s">
        <v>11</v>
      </c>
      <c r="C36" s="32" t="s">
        <v>29</v>
      </c>
      <c r="D36" t="s">
        <v>9</v>
      </c>
      <c r="E36">
        <v>2010</v>
      </c>
      <c r="F36">
        <v>11</v>
      </c>
      <c r="G36" s="32">
        <v>49006</v>
      </c>
      <c r="H36" s="32">
        <v>372286</v>
      </c>
      <c r="I36" s="32">
        <v>729374</v>
      </c>
      <c r="J36" s="18">
        <v>31</v>
      </c>
      <c r="K36" s="18">
        <v>284</v>
      </c>
      <c r="L36">
        <v>45326.112000000001</v>
      </c>
      <c r="M36" s="34">
        <v>0.11749039999999999</v>
      </c>
      <c r="N36">
        <v>0.70421730000000005</v>
      </c>
      <c r="O36" s="32">
        <f t="shared" si="0"/>
        <v>-2.1413986508633838</v>
      </c>
      <c r="P36" s="32">
        <f t="shared" si="1"/>
        <v>-0.35066830567853796</v>
      </c>
      <c r="Q36" s="32">
        <f t="shared" si="2"/>
        <v>0.51041852328160864</v>
      </c>
      <c r="R36" s="32">
        <f t="shared" si="3"/>
        <v>-0.67252425591414289</v>
      </c>
    </row>
    <row r="37" spans="1:18">
      <c r="A37">
        <v>13407</v>
      </c>
      <c r="B37" t="s">
        <v>11</v>
      </c>
      <c r="C37" s="32" t="s">
        <v>29</v>
      </c>
      <c r="D37" t="s">
        <v>9</v>
      </c>
      <c r="E37">
        <v>2010</v>
      </c>
      <c r="F37">
        <v>12</v>
      </c>
      <c r="G37" s="32">
        <v>69199</v>
      </c>
      <c r="H37" s="32">
        <v>555406</v>
      </c>
      <c r="I37" s="32">
        <v>733579</v>
      </c>
      <c r="J37" s="18">
        <v>0</v>
      </c>
      <c r="K37" s="18">
        <v>416</v>
      </c>
      <c r="L37">
        <v>45326.112000000001</v>
      </c>
      <c r="M37" s="34">
        <v>0.1112036</v>
      </c>
      <c r="N37">
        <v>0.70421730000000005</v>
      </c>
      <c r="O37" s="32">
        <f t="shared" si="0"/>
        <v>-2.1963925235889654</v>
      </c>
      <c r="P37" s="32">
        <f t="shared" si="1"/>
        <v>-0.35066830567853796</v>
      </c>
      <c r="Q37" s="32">
        <f t="shared" si="2"/>
        <v>0.75711818359031546</v>
      </c>
      <c r="R37" s="32">
        <f t="shared" si="3"/>
        <v>-0.27823591673913223</v>
      </c>
    </row>
    <row r="38" spans="1:18">
      <c r="A38">
        <v>22814</v>
      </c>
      <c r="B38" t="s">
        <v>12</v>
      </c>
      <c r="C38" s="32" t="s">
        <v>30</v>
      </c>
      <c r="D38" t="s">
        <v>9</v>
      </c>
      <c r="E38">
        <v>2010</v>
      </c>
      <c r="F38">
        <v>1</v>
      </c>
      <c r="G38">
        <v>154</v>
      </c>
      <c r="H38">
        <v>1941</v>
      </c>
      <c r="I38">
        <v>1450</v>
      </c>
      <c r="J38" s="18">
        <v>0</v>
      </c>
      <c r="K38" s="18">
        <v>1205</v>
      </c>
      <c r="L38">
        <v>59095.343999999997</v>
      </c>
      <c r="M38">
        <v>7.08149E-2</v>
      </c>
      <c r="N38">
        <v>0.96930300000000003</v>
      </c>
      <c r="O38" s="32">
        <f t="shared" si="0"/>
        <v>-2.6476858484469727</v>
      </c>
      <c r="P38" s="32">
        <f t="shared" si="1"/>
        <v>-3.1178022471341722E-2</v>
      </c>
      <c r="Q38" s="32">
        <f t="shared" si="2"/>
        <v>1.3386206896551724</v>
      </c>
      <c r="R38" s="32">
        <f t="shared" si="3"/>
        <v>0.29163974775439022</v>
      </c>
    </row>
    <row r="39" spans="1:18">
      <c r="A39">
        <v>22814</v>
      </c>
      <c r="B39" t="s">
        <v>12</v>
      </c>
      <c r="C39" s="32" t="s">
        <v>30</v>
      </c>
      <c r="D39" t="s">
        <v>9</v>
      </c>
      <c r="E39">
        <v>2010</v>
      </c>
      <c r="F39">
        <v>2</v>
      </c>
      <c r="G39">
        <v>145</v>
      </c>
      <c r="H39">
        <v>1790</v>
      </c>
      <c r="I39">
        <v>1450</v>
      </c>
      <c r="J39" s="18">
        <v>0</v>
      </c>
      <c r="K39" s="18">
        <v>912</v>
      </c>
      <c r="L39">
        <v>59095.343999999997</v>
      </c>
      <c r="M39">
        <v>7.2301099999999993E-2</v>
      </c>
      <c r="N39">
        <v>0.96930300000000003</v>
      </c>
      <c r="O39" s="32">
        <f t="shared" si="0"/>
        <v>-2.6269159355486469</v>
      </c>
      <c r="P39" s="32">
        <f t="shared" si="1"/>
        <v>-3.1178022471341722E-2</v>
      </c>
      <c r="Q39" s="32">
        <f t="shared" si="2"/>
        <v>1.2344827586206897</v>
      </c>
      <c r="R39" s="32">
        <f t="shared" si="3"/>
        <v>0.21065206342018061</v>
      </c>
    </row>
    <row r="40" spans="1:18">
      <c r="A40">
        <v>22814</v>
      </c>
      <c r="B40" t="s">
        <v>12</v>
      </c>
      <c r="C40" s="32" t="s">
        <v>30</v>
      </c>
      <c r="D40" t="s">
        <v>9</v>
      </c>
      <c r="E40">
        <v>2010</v>
      </c>
      <c r="F40">
        <v>3</v>
      </c>
      <c r="G40">
        <v>130</v>
      </c>
      <c r="H40">
        <v>1599</v>
      </c>
      <c r="I40">
        <v>1450</v>
      </c>
      <c r="J40" s="18">
        <v>0</v>
      </c>
      <c r="K40" s="18">
        <v>853</v>
      </c>
      <c r="L40">
        <v>59095.343999999997</v>
      </c>
      <c r="M40">
        <v>7.2564600000000007E-2</v>
      </c>
      <c r="N40">
        <v>0.96930300000000003</v>
      </c>
      <c r="O40" s="32">
        <f t="shared" si="0"/>
        <v>-2.6232780793743213</v>
      </c>
      <c r="P40" s="32">
        <f t="shared" si="1"/>
        <v>-3.1178022471341722E-2</v>
      </c>
      <c r="Q40" s="32">
        <f t="shared" si="2"/>
        <v>1.1027586206896551</v>
      </c>
      <c r="R40" s="32">
        <f t="shared" si="3"/>
        <v>9.7814877419334104E-2</v>
      </c>
    </row>
    <row r="41" spans="1:18">
      <c r="A41">
        <v>22814</v>
      </c>
      <c r="B41" t="s">
        <v>12</v>
      </c>
      <c r="C41" s="32" t="s">
        <v>30</v>
      </c>
      <c r="D41" t="s">
        <v>9</v>
      </c>
      <c r="E41">
        <v>2010</v>
      </c>
      <c r="F41">
        <v>4</v>
      </c>
      <c r="G41">
        <v>125</v>
      </c>
      <c r="H41">
        <v>1503</v>
      </c>
      <c r="I41">
        <v>1450</v>
      </c>
      <c r="J41" s="18">
        <v>0</v>
      </c>
      <c r="K41" s="18">
        <v>657</v>
      </c>
      <c r="L41">
        <v>59095.343999999997</v>
      </c>
      <c r="M41">
        <v>7.4230199999999996E-2</v>
      </c>
      <c r="N41">
        <v>0.96930300000000003</v>
      </c>
      <c r="O41" s="32">
        <f t="shared" si="0"/>
        <v>-2.6005842035278728</v>
      </c>
      <c r="P41" s="32">
        <f t="shared" si="1"/>
        <v>-3.1178022471341722E-2</v>
      </c>
      <c r="Q41" s="32">
        <f t="shared" si="2"/>
        <v>1.036551724137931</v>
      </c>
      <c r="R41" s="32">
        <f t="shared" si="3"/>
        <v>3.5899554338354324E-2</v>
      </c>
    </row>
    <row r="42" spans="1:18">
      <c r="A42">
        <v>22814</v>
      </c>
      <c r="B42" t="s">
        <v>12</v>
      </c>
      <c r="C42" s="32" t="s">
        <v>30</v>
      </c>
      <c r="D42" t="s">
        <v>9</v>
      </c>
      <c r="E42">
        <v>2010</v>
      </c>
      <c r="F42">
        <v>5</v>
      </c>
      <c r="G42">
        <v>105</v>
      </c>
      <c r="H42">
        <v>1217</v>
      </c>
      <c r="I42">
        <v>1450</v>
      </c>
      <c r="J42" s="18">
        <v>0</v>
      </c>
      <c r="K42" s="18">
        <v>554</v>
      </c>
      <c r="L42">
        <v>59095.343999999997</v>
      </c>
      <c r="M42">
        <v>7.7006699999999997E-2</v>
      </c>
      <c r="N42">
        <v>0.96930300000000003</v>
      </c>
      <c r="O42" s="32">
        <f t="shared" si="0"/>
        <v>-2.5638628479268508</v>
      </c>
      <c r="P42" s="32">
        <f t="shared" si="1"/>
        <v>-3.1178022471341722E-2</v>
      </c>
      <c r="Q42" s="32">
        <f t="shared" si="2"/>
        <v>0.83931034482758615</v>
      </c>
      <c r="R42" s="32">
        <f t="shared" si="3"/>
        <v>-0.17517474242709297</v>
      </c>
    </row>
    <row r="43" spans="1:18">
      <c r="A43">
        <v>22814</v>
      </c>
      <c r="B43" t="s">
        <v>12</v>
      </c>
      <c r="C43" s="32" t="s">
        <v>30</v>
      </c>
      <c r="D43" t="s">
        <v>9</v>
      </c>
      <c r="E43">
        <v>2010</v>
      </c>
      <c r="F43">
        <v>6</v>
      </c>
      <c r="G43">
        <v>84</v>
      </c>
      <c r="H43">
        <v>961</v>
      </c>
      <c r="I43">
        <v>1449</v>
      </c>
      <c r="J43" s="18">
        <v>51</v>
      </c>
      <c r="K43" s="18">
        <v>116</v>
      </c>
      <c r="L43">
        <v>59095.343999999997</v>
      </c>
      <c r="M43">
        <v>7.8016299999999997E-2</v>
      </c>
      <c r="N43">
        <v>0.96930300000000003</v>
      </c>
      <c r="O43" s="32">
        <f t="shared" si="0"/>
        <v>-2.5508374997656706</v>
      </c>
      <c r="P43" s="32">
        <f t="shared" si="1"/>
        <v>-3.1178022471341722E-2</v>
      </c>
      <c r="Q43" s="32">
        <f t="shared" si="2"/>
        <v>0.66321601104209804</v>
      </c>
      <c r="R43" s="32">
        <f t="shared" si="3"/>
        <v>-0.41065453335038982</v>
      </c>
    </row>
    <row r="44" spans="1:18">
      <c r="A44">
        <v>22814</v>
      </c>
      <c r="B44" t="s">
        <v>12</v>
      </c>
      <c r="C44" s="32" t="s">
        <v>30</v>
      </c>
      <c r="D44" t="s">
        <v>9</v>
      </c>
      <c r="E44">
        <v>2010</v>
      </c>
      <c r="F44">
        <v>7</v>
      </c>
      <c r="G44">
        <v>79</v>
      </c>
      <c r="H44">
        <v>881</v>
      </c>
      <c r="I44">
        <v>1450</v>
      </c>
      <c r="J44" s="18">
        <v>227</v>
      </c>
      <c r="K44" s="18">
        <v>11</v>
      </c>
      <c r="L44">
        <v>59095.343999999997</v>
      </c>
      <c r="M44">
        <v>8.0035200000000001E-2</v>
      </c>
      <c r="N44">
        <v>0.96930300000000003</v>
      </c>
      <c r="O44" s="32">
        <f t="shared" si="0"/>
        <v>-2.5252887410798701</v>
      </c>
      <c r="P44" s="32">
        <f t="shared" si="1"/>
        <v>-3.1178022471341722E-2</v>
      </c>
      <c r="Q44" s="32">
        <f t="shared" si="2"/>
        <v>0.60758620689655174</v>
      </c>
      <c r="R44" s="32">
        <f t="shared" si="3"/>
        <v>-0.49826120947844055</v>
      </c>
    </row>
    <row r="45" spans="1:18">
      <c r="A45">
        <v>22814</v>
      </c>
      <c r="B45" t="s">
        <v>12</v>
      </c>
      <c r="C45" s="32" t="s">
        <v>30</v>
      </c>
      <c r="D45" t="s">
        <v>9</v>
      </c>
      <c r="E45">
        <v>2010</v>
      </c>
      <c r="F45">
        <v>8</v>
      </c>
      <c r="G45">
        <v>68</v>
      </c>
      <c r="H45">
        <v>760</v>
      </c>
      <c r="I45">
        <v>1451</v>
      </c>
      <c r="J45" s="18">
        <v>136</v>
      </c>
      <c r="K45" s="18">
        <v>44</v>
      </c>
      <c r="L45">
        <v>59095.343999999997</v>
      </c>
      <c r="M45">
        <v>7.9859200000000005E-2</v>
      </c>
      <c r="N45">
        <v>0.96930300000000003</v>
      </c>
      <c r="O45" s="32">
        <f t="shared" si="0"/>
        <v>-2.5274901949279163</v>
      </c>
      <c r="P45" s="32">
        <f t="shared" si="1"/>
        <v>-3.1178022471341722E-2</v>
      </c>
      <c r="Q45" s="32">
        <f t="shared" si="2"/>
        <v>0.52377670572019297</v>
      </c>
      <c r="R45" s="32">
        <f t="shared" si="3"/>
        <v>-0.64668981960381111</v>
      </c>
    </row>
    <row r="46" spans="1:18">
      <c r="A46">
        <v>22814</v>
      </c>
      <c r="B46" t="s">
        <v>12</v>
      </c>
      <c r="C46" s="32" t="s">
        <v>30</v>
      </c>
      <c r="D46" t="s">
        <v>9</v>
      </c>
      <c r="E46">
        <v>2010</v>
      </c>
      <c r="F46">
        <v>9</v>
      </c>
      <c r="G46">
        <v>75</v>
      </c>
      <c r="H46">
        <v>837</v>
      </c>
      <c r="I46">
        <v>1453</v>
      </c>
      <c r="J46" s="18">
        <v>11</v>
      </c>
      <c r="K46" s="18">
        <v>142</v>
      </c>
      <c r="L46">
        <v>59095.343999999997</v>
      </c>
      <c r="M46">
        <v>7.9977099999999995E-2</v>
      </c>
      <c r="N46">
        <v>0.96930300000000003</v>
      </c>
      <c r="O46" s="32">
        <f t="shared" si="0"/>
        <v>-2.5260149352856067</v>
      </c>
      <c r="P46" s="32">
        <f t="shared" si="1"/>
        <v>-3.1178022471341722E-2</v>
      </c>
      <c r="Q46" s="32">
        <f t="shared" si="2"/>
        <v>0.57604955264969027</v>
      </c>
      <c r="R46" s="32">
        <f t="shared" si="3"/>
        <v>-0.55156159308080766</v>
      </c>
    </row>
    <row r="47" spans="1:18">
      <c r="A47">
        <v>22814</v>
      </c>
      <c r="B47" t="s">
        <v>12</v>
      </c>
      <c r="C47" s="32" t="s">
        <v>30</v>
      </c>
      <c r="D47" t="s">
        <v>9</v>
      </c>
      <c r="E47">
        <v>2010</v>
      </c>
      <c r="F47">
        <v>10</v>
      </c>
      <c r="G47">
        <v>83</v>
      </c>
      <c r="H47">
        <v>945</v>
      </c>
      <c r="I47">
        <v>1455</v>
      </c>
      <c r="J47" s="18">
        <v>5</v>
      </c>
      <c r="K47" s="18">
        <v>450</v>
      </c>
      <c r="L47">
        <v>59095.343999999997</v>
      </c>
      <c r="M47">
        <v>7.8392799999999999E-2</v>
      </c>
      <c r="N47">
        <v>0.96930300000000003</v>
      </c>
      <c r="O47" s="32">
        <f t="shared" si="0"/>
        <v>-2.5460231925777199</v>
      </c>
      <c r="P47" s="32">
        <f t="shared" si="1"/>
        <v>-3.1178022471341722E-2</v>
      </c>
      <c r="Q47" s="32">
        <f t="shared" si="2"/>
        <v>0.64948453608247425</v>
      </c>
      <c r="R47" s="32">
        <f t="shared" si="3"/>
        <v>-0.43157625211185008</v>
      </c>
    </row>
    <row r="48" spans="1:18">
      <c r="A48">
        <v>22814</v>
      </c>
      <c r="B48" t="s">
        <v>12</v>
      </c>
      <c r="C48" s="32" t="s">
        <v>30</v>
      </c>
      <c r="D48" t="s">
        <v>9</v>
      </c>
      <c r="E48">
        <v>2010</v>
      </c>
      <c r="F48">
        <v>11</v>
      </c>
      <c r="G48">
        <v>153</v>
      </c>
      <c r="H48">
        <v>1898</v>
      </c>
      <c r="I48">
        <v>1455</v>
      </c>
      <c r="J48" s="18">
        <v>0</v>
      </c>
      <c r="K48" s="18">
        <v>966</v>
      </c>
      <c r="L48">
        <v>59095.343999999997</v>
      </c>
      <c r="M48">
        <v>7.1948999999999999E-2</v>
      </c>
      <c r="N48">
        <v>0.96930300000000003</v>
      </c>
      <c r="O48" s="32">
        <f t="shared" si="0"/>
        <v>-2.6317977442859992</v>
      </c>
      <c r="P48" s="32">
        <f t="shared" si="1"/>
        <v>-3.1178022471341722E-2</v>
      </c>
      <c r="Q48" s="32">
        <f t="shared" si="2"/>
        <v>1.3044673539518901</v>
      </c>
      <c r="R48" s="32">
        <f t="shared" si="3"/>
        <v>0.26579479956428032</v>
      </c>
    </row>
    <row r="49" spans="1:18">
      <c r="A49">
        <v>22814</v>
      </c>
      <c r="B49" t="s">
        <v>12</v>
      </c>
      <c r="C49" s="32" t="s">
        <v>30</v>
      </c>
      <c r="D49" t="s">
        <v>9</v>
      </c>
      <c r="E49">
        <v>2010</v>
      </c>
      <c r="F49">
        <v>12</v>
      </c>
      <c r="G49">
        <v>154</v>
      </c>
      <c r="H49">
        <v>1826</v>
      </c>
      <c r="I49">
        <v>1456</v>
      </c>
      <c r="J49" s="18">
        <v>0</v>
      </c>
      <c r="K49" s="18">
        <v>1069</v>
      </c>
      <c r="L49">
        <v>59095.343999999997</v>
      </c>
      <c r="M49">
        <v>7.5274800000000003E-2</v>
      </c>
      <c r="N49">
        <v>0.96930300000000003</v>
      </c>
      <c r="O49" s="32">
        <f t="shared" si="0"/>
        <v>-2.5866098615424788</v>
      </c>
      <c r="P49" s="32">
        <f t="shared" si="1"/>
        <v>-3.1178022471341722E-2</v>
      </c>
      <c r="Q49" s="32">
        <f t="shared" si="2"/>
        <v>1.2541208791208791</v>
      </c>
      <c r="R49" s="32">
        <f t="shared" si="3"/>
        <v>0.22643483239828249</v>
      </c>
    </row>
    <row r="50" spans="1:18">
      <c r="A50">
        <v>17166</v>
      </c>
      <c r="B50" t="s">
        <v>13</v>
      </c>
      <c r="C50" s="32" t="s">
        <v>31</v>
      </c>
      <c r="D50" t="s">
        <v>9</v>
      </c>
      <c r="E50">
        <v>2010</v>
      </c>
      <c r="F50">
        <v>1</v>
      </c>
      <c r="G50">
        <v>26958</v>
      </c>
      <c r="H50">
        <v>218541</v>
      </c>
      <c r="I50">
        <v>277067</v>
      </c>
      <c r="J50" s="23">
        <v>0</v>
      </c>
      <c r="K50" s="23">
        <v>870</v>
      </c>
      <c r="L50">
        <v>45376.020000000004</v>
      </c>
      <c r="M50">
        <v>0.1100993</v>
      </c>
      <c r="N50">
        <v>0.96930300000000003</v>
      </c>
      <c r="O50" s="32">
        <f t="shared" si="0"/>
        <v>-2.2063725931302081</v>
      </c>
      <c r="P50" s="32">
        <f t="shared" si="1"/>
        <v>-3.1178022471341722E-2</v>
      </c>
      <c r="Q50" s="32">
        <f t="shared" si="2"/>
        <v>0.7887658941700022</v>
      </c>
      <c r="R50" s="32">
        <f t="shared" si="3"/>
        <v>-0.23728571424257855</v>
      </c>
    </row>
    <row r="51" spans="1:18">
      <c r="A51">
        <v>17166</v>
      </c>
      <c r="B51" t="s">
        <v>13</v>
      </c>
      <c r="C51" s="32" t="s">
        <v>31</v>
      </c>
      <c r="D51" t="s">
        <v>9</v>
      </c>
      <c r="E51">
        <v>2010</v>
      </c>
      <c r="F51">
        <v>2</v>
      </c>
      <c r="G51">
        <v>21717</v>
      </c>
      <c r="H51">
        <v>171574</v>
      </c>
      <c r="I51">
        <v>276328</v>
      </c>
      <c r="J51" s="23">
        <v>0</v>
      </c>
      <c r="K51" s="23">
        <v>711</v>
      </c>
      <c r="L51">
        <v>45376.020000000004</v>
      </c>
      <c r="M51">
        <v>0.1129739</v>
      </c>
      <c r="N51">
        <v>0.96930300000000003</v>
      </c>
      <c r="O51" s="32">
        <f t="shared" si="0"/>
        <v>-2.1805984603995996</v>
      </c>
      <c r="P51" s="32">
        <f t="shared" si="1"/>
        <v>-3.1178022471341722E-2</v>
      </c>
      <c r="Q51" s="32">
        <f t="shared" si="2"/>
        <v>0.62090703801279634</v>
      </c>
      <c r="R51" s="32">
        <f t="shared" si="3"/>
        <v>-0.47657390549628259</v>
      </c>
    </row>
    <row r="52" spans="1:18">
      <c r="A52">
        <v>17166</v>
      </c>
      <c r="B52" t="s">
        <v>13</v>
      </c>
      <c r="C52" s="32" t="s">
        <v>31</v>
      </c>
      <c r="D52" t="s">
        <v>9</v>
      </c>
      <c r="E52">
        <v>2010</v>
      </c>
      <c r="F52">
        <v>3</v>
      </c>
      <c r="G52">
        <v>22707</v>
      </c>
      <c r="H52">
        <v>178126</v>
      </c>
      <c r="I52">
        <v>275761</v>
      </c>
      <c r="J52" s="23">
        <v>0</v>
      </c>
      <c r="K52" s="23">
        <v>682</v>
      </c>
      <c r="L52">
        <v>45376.020000000004</v>
      </c>
      <c r="M52">
        <v>0.11377900000000001</v>
      </c>
      <c r="N52">
        <v>0.96930300000000003</v>
      </c>
      <c r="O52" s="32">
        <f t="shared" si="0"/>
        <v>-2.1734973085891003</v>
      </c>
      <c r="P52" s="32">
        <f t="shared" si="1"/>
        <v>-3.1178022471341722E-2</v>
      </c>
      <c r="Q52" s="32">
        <f t="shared" si="2"/>
        <v>0.6459434075159286</v>
      </c>
      <c r="R52" s="32">
        <f t="shared" si="3"/>
        <v>-0.43704338350153721</v>
      </c>
    </row>
    <row r="53" spans="1:18">
      <c r="A53">
        <v>17166</v>
      </c>
      <c r="B53" t="s">
        <v>13</v>
      </c>
      <c r="C53" s="32" t="s">
        <v>31</v>
      </c>
      <c r="D53" t="s">
        <v>9</v>
      </c>
      <c r="E53">
        <v>2010</v>
      </c>
      <c r="F53">
        <v>4</v>
      </c>
      <c r="G53">
        <v>21137</v>
      </c>
      <c r="H53">
        <v>164726</v>
      </c>
      <c r="I53">
        <v>276162</v>
      </c>
      <c r="J53" s="23">
        <v>0</v>
      </c>
      <c r="K53" s="23">
        <v>593</v>
      </c>
      <c r="L53">
        <v>45376.020000000004</v>
      </c>
      <c r="M53">
        <v>0.1145278</v>
      </c>
      <c r="N53">
        <v>0.96930300000000003</v>
      </c>
      <c r="O53" s="32">
        <f t="shared" si="0"/>
        <v>-2.1669376906978952</v>
      </c>
      <c r="P53" s="32">
        <f t="shared" si="1"/>
        <v>-3.1178022471341722E-2</v>
      </c>
      <c r="Q53" s="32">
        <f t="shared" si="2"/>
        <v>0.5964832236151244</v>
      </c>
      <c r="R53" s="32">
        <f t="shared" si="3"/>
        <v>-0.51670416254189544</v>
      </c>
    </row>
    <row r="54" spans="1:18">
      <c r="A54">
        <v>17166</v>
      </c>
      <c r="B54" t="s">
        <v>13</v>
      </c>
      <c r="C54" s="32" t="s">
        <v>31</v>
      </c>
      <c r="D54" t="s">
        <v>9</v>
      </c>
      <c r="E54">
        <v>2010</v>
      </c>
      <c r="F54">
        <v>5</v>
      </c>
      <c r="G54">
        <v>20048</v>
      </c>
      <c r="H54">
        <v>153168</v>
      </c>
      <c r="I54">
        <v>274770</v>
      </c>
      <c r="J54" s="23">
        <v>0</v>
      </c>
      <c r="K54" s="23">
        <v>453</v>
      </c>
      <c r="L54">
        <v>45376.020000000004</v>
      </c>
      <c r="M54">
        <v>0.1168242</v>
      </c>
      <c r="N54">
        <v>0.96930300000000003</v>
      </c>
      <c r="O54" s="32">
        <f t="shared" si="0"/>
        <v>-2.147085038268441</v>
      </c>
      <c r="P54" s="32">
        <f t="shared" si="1"/>
        <v>-3.1178022471341722E-2</v>
      </c>
      <c r="Q54" s="32">
        <f t="shared" si="2"/>
        <v>0.55744076864286496</v>
      </c>
      <c r="R54" s="32">
        <f t="shared" si="3"/>
        <v>-0.58439902587900849</v>
      </c>
    </row>
    <row r="55" spans="1:18">
      <c r="A55">
        <v>17166</v>
      </c>
      <c r="B55" t="s">
        <v>13</v>
      </c>
      <c r="C55" s="32" t="s">
        <v>31</v>
      </c>
      <c r="D55" t="s">
        <v>9</v>
      </c>
      <c r="E55">
        <v>2010</v>
      </c>
      <c r="F55">
        <v>6</v>
      </c>
      <c r="G55">
        <v>20255</v>
      </c>
      <c r="H55">
        <v>156979</v>
      </c>
      <c r="I55">
        <v>277334</v>
      </c>
      <c r="J55" s="23">
        <v>101</v>
      </c>
      <c r="K55" s="23">
        <v>63</v>
      </c>
      <c r="L55">
        <v>45376.020000000004</v>
      </c>
      <c r="M55">
        <v>0.115165</v>
      </c>
      <c r="N55">
        <v>0.96930300000000003</v>
      </c>
      <c r="O55" s="32">
        <f t="shared" si="0"/>
        <v>-2.1613893963272681</v>
      </c>
      <c r="P55" s="32">
        <f t="shared" si="1"/>
        <v>-3.1178022471341722E-2</v>
      </c>
      <c r="Q55" s="32">
        <f t="shared" si="2"/>
        <v>0.56602868743103985</v>
      </c>
      <c r="R55" s="32">
        <f t="shared" si="3"/>
        <v>-0.56911051755623276</v>
      </c>
    </row>
    <row r="56" spans="1:18">
      <c r="A56">
        <v>17166</v>
      </c>
      <c r="B56" t="s">
        <v>13</v>
      </c>
      <c r="C56" s="32" t="s">
        <v>31</v>
      </c>
      <c r="D56" t="s">
        <v>9</v>
      </c>
      <c r="E56">
        <v>2010</v>
      </c>
      <c r="F56">
        <v>7</v>
      </c>
      <c r="G56">
        <v>25946</v>
      </c>
      <c r="H56">
        <v>209920</v>
      </c>
      <c r="I56">
        <v>276357</v>
      </c>
      <c r="J56" s="23">
        <v>372</v>
      </c>
      <c r="K56" s="23">
        <v>0</v>
      </c>
      <c r="L56">
        <v>45376.020000000004</v>
      </c>
      <c r="M56">
        <v>0.110318</v>
      </c>
      <c r="N56">
        <v>0.96930300000000003</v>
      </c>
      <c r="O56" s="32">
        <f t="shared" si="0"/>
        <v>-2.2043881747404672</v>
      </c>
      <c r="P56" s="32">
        <f t="shared" si="1"/>
        <v>-3.1178022471341722E-2</v>
      </c>
      <c r="Q56" s="32">
        <f t="shared" si="2"/>
        <v>0.75959718769562556</v>
      </c>
      <c r="R56" s="32">
        <f t="shared" si="3"/>
        <v>-0.27496700239995742</v>
      </c>
    </row>
    <row r="57" spans="1:18">
      <c r="A57">
        <v>17166</v>
      </c>
      <c r="B57" t="s">
        <v>13</v>
      </c>
      <c r="C57" s="32" t="s">
        <v>31</v>
      </c>
      <c r="D57" t="s">
        <v>9</v>
      </c>
      <c r="E57">
        <v>2010</v>
      </c>
      <c r="F57">
        <v>8</v>
      </c>
      <c r="G57">
        <v>27877</v>
      </c>
      <c r="H57">
        <v>225852</v>
      </c>
      <c r="I57">
        <v>275937</v>
      </c>
      <c r="J57" s="23">
        <v>253</v>
      </c>
      <c r="K57" s="23">
        <v>31</v>
      </c>
      <c r="L57">
        <v>45376.020000000004</v>
      </c>
      <c r="M57">
        <v>0.1101671</v>
      </c>
      <c r="N57">
        <v>0.96930300000000003</v>
      </c>
      <c r="O57" s="32">
        <f t="shared" si="0"/>
        <v>-2.2057569749320511</v>
      </c>
      <c r="P57" s="32">
        <f t="shared" si="1"/>
        <v>-3.1178022471341722E-2</v>
      </c>
      <c r="Q57" s="32">
        <f t="shared" si="2"/>
        <v>0.81849117733395671</v>
      </c>
      <c r="R57" s="32">
        <f t="shared" si="3"/>
        <v>-0.20029266129568013</v>
      </c>
    </row>
    <row r="58" spans="1:18">
      <c r="A58">
        <v>17166</v>
      </c>
      <c r="B58" t="s">
        <v>13</v>
      </c>
      <c r="C58" s="32" t="s">
        <v>31</v>
      </c>
      <c r="D58" t="s">
        <v>9</v>
      </c>
      <c r="E58">
        <v>2010</v>
      </c>
      <c r="F58">
        <v>9</v>
      </c>
      <c r="G58">
        <v>20614</v>
      </c>
      <c r="H58">
        <v>160105</v>
      </c>
      <c r="I58">
        <v>275994</v>
      </c>
      <c r="J58" s="23">
        <v>121</v>
      </c>
      <c r="K58" s="23">
        <v>41</v>
      </c>
      <c r="L58">
        <v>45376.020000000004</v>
      </c>
      <c r="M58">
        <v>0.1149177</v>
      </c>
      <c r="N58">
        <v>0.96930300000000003</v>
      </c>
      <c r="O58" s="32">
        <f t="shared" si="0"/>
        <v>-2.1635390589940582</v>
      </c>
      <c r="P58" s="32">
        <f t="shared" si="1"/>
        <v>-3.1178022471341722E-2</v>
      </c>
      <c r="Q58" s="32">
        <f t="shared" si="2"/>
        <v>0.58010319064907212</v>
      </c>
      <c r="R58" s="32">
        <f t="shared" si="3"/>
        <v>-0.54454927635445971</v>
      </c>
    </row>
    <row r="59" spans="1:18">
      <c r="A59">
        <v>17166</v>
      </c>
      <c r="B59" t="s">
        <v>13</v>
      </c>
      <c r="C59" s="32" t="s">
        <v>31</v>
      </c>
      <c r="D59" t="s">
        <v>9</v>
      </c>
      <c r="E59">
        <v>2010</v>
      </c>
      <c r="F59">
        <v>10</v>
      </c>
      <c r="G59">
        <v>18145</v>
      </c>
      <c r="H59">
        <v>148769</v>
      </c>
      <c r="I59">
        <v>276161</v>
      </c>
      <c r="J59" s="23">
        <v>19</v>
      </c>
      <c r="K59" s="23">
        <v>333</v>
      </c>
      <c r="L59">
        <v>45376.020000000004</v>
      </c>
      <c r="M59">
        <v>0.1088615</v>
      </c>
      <c r="N59">
        <v>0.96930300000000003</v>
      </c>
      <c r="O59" s="32">
        <f t="shared" si="0"/>
        <v>-2.2176788469051139</v>
      </c>
      <c r="P59" s="32">
        <f t="shared" si="1"/>
        <v>-3.1178022471341722E-2</v>
      </c>
      <c r="Q59" s="32">
        <f t="shared" si="2"/>
        <v>0.5387038720166859</v>
      </c>
      <c r="R59" s="32">
        <f t="shared" si="3"/>
        <v>-0.61858926161647598</v>
      </c>
    </row>
    <row r="60" spans="1:18">
      <c r="A60">
        <v>17166</v>
      </c>
      <c r="B60" t="s">
        <v>13</v>
      </c>
      <c r="C60" s="32" t="s">
        <v>31</v>
      </c>
      <c r="D60" t="s">
        <v>9</v>
      </c>
      <c r="E60">
        <v>2010</v>
      </c>
      <c r="F60">
        <v>11</v>
      </c>
      <c r="G60">
        <v>20728</v>
      </c>
      <c r="H60">
        <v>172342</v>
      </c>
      <c r="I60">
        <v>276012</v>
      </c>
      <c r="J60" s="23">
        <v>0</v>
      </c>
      <c r="K60" s="23">
        <v>763</v>
      </c>
      <c r="L60">
        <v>45376.020000000004</v>
      </c>
      <c r="M60">
        <v>0.1073485</v>
      </c>
      <c r="N60">
        <v>0.96930300000000003</v>
      </c>
      <c r="O60" s="32">
        <f t="shared" si="0"/>
        <v>-2.2316747277405313</v>
      </c>
      <c r="P60" s="32">
        <f t="shared" si="1"/>
        <v>-3.1178022471341722E-2</v>
      </c>
      <c r="Q60" s="32">
        <f t="shared" si="2"/>
        <v>0.62440038838891065</v>
      </c>
      <c r="R60" s="32">
        <f t="shared" si="3"/>
        <v>-0.47096346832165786</v>
      </c>
    </row>
    <row r="61" spans="1:18">
      <c r="A61">
        <v>17166</v>
      </c>
      <c r="B61" t="s">
        <v>13</v>
      </c>
      <c r="C61" s="32" t="s">
        <v>31</v>
      </c>
      <c r="D61" t="s">
        <v>9</v>
      </c>
      <c r="E61">
        <v>2010</v>
      </c>
      <c r="F61">
        <v>12</v>
      </c>
      <c r="G61">
        <v>26147</v>
      </c>
      <c r="H61">
        <v>228275</v>
      </c>
      <c r="I61">
        <v>277120</v>
      </c>
      <c r="J61" s="23">
        <v>0</v>
      </c>
      <c r="K61" s="23">
        <v>823</v>
      </c>
      <c r="L61">
        <v>45376.020000000004</v>
      </c>
      <c r="M61">
        <v>0.1022335</v>
      </c>
      <c r="N61">
        <v>0.70421730000000005</v>
      </c>
      <c r="O61" s="32">
        <f t="shared" si="0"/>
        <v>-2.2804958662737889</v>
      </c>
      <c r="P61" s="32">
        <f t="shared" si="1"/>
        <v>-0.35066830567853796</v>
      </c>
      <c r="Q61" s="32">
        <f t="shared" si="2"/>
        <v>0.82374061778290997</v>
      </c>
      <c r="R61" s="32">
        <f t="shared" si="3"/>
        <v>-0.19389958287166648</v>
      </c>
    </row>
    <row r="62" spans="1:18">
      <c r="A62">
        <v>19840</v>
      </c>
      <c r="B62" t="s">
        <v>14</v>
      </c>
      <c r="C62" s="32" t="s">
        <v>32</v>
      </c>
      <c r="D62" t="s">
        <v>9</v>
      </c>
      <c r="E62">
        <v>2010</v>
      </c>
      <c r="F62">
        <v>1</v>
      </c>
      <c r="G62">
        <v>3778.6</v>
      </c>
      <c r="H62">
        <v>32609.7</v>
      </c>
      <c r="I62">
        <v>18287</v>
      </c>
      <c r="J62" s="28">
        <v>0</v>
      </c>
      <c r="K62" s="28">
        <v>1049</v>
      </c>
      <c r="L62">
        <v>36530.94</v>
      </c>
      <c r="M62">
        <v>0.10342220000000001</v>
      </c>
      <c r="N62">
        <v>0.70421730000000005</v>
      </c>
      <c r="O62" s="32">
        <f t="shared" si="0"/>
        <v>-2.2689356397591727</v>
      </c>
      <c r="P62" s="32">
        <f t="shared" si="1"/>
        <v>-0.35066830567853796</v>
      </c>
      <c r="Q62" s="32">
        <f t="shared" si="2"/>
        <v>1.7832175862634658</v>
      </c>
      <c r="R62" s="32">
        <f t="shared" si="3"/>
        <v>0.5784193652344003</v>
      </c>
    </row>
    <row r="63" spans="1:18">
      <c r="A63">
        <v>19840</v>
      </c>
      <c r="B63" t="s">
        <v>14</v>
      </c>
      <c r="C63" s="32" t="s">
        <v>32</v>
      </c>
      <c r="D63" t="s">
        <v>9</v>
      </c>
      <c r="E63">
        <v>2010</v>
      </c>
      <c r="F63">
        <v>2</v>
      </c>
      <c r="G63">
        <v>3332.09</v>
      </c>
      <c r="H63">
        <v>27824.9</v>
      </c>
      <c r="I63">
        <v>18269</v>
      </c>
      <c r="J63" s="28">
        <v>0</v>
      </c>
      <c r="K63" s="28">
        <v>761</v>
      </c>
      <c r="L63">
        <v>36530.94</v>
      </c>
      <c r="M63">
        <v>0.10688400000000001</v>
      </c>
      <c r="N63">
        <v>0.70421730000000005</v>
      </c>
      <c r="O63" s="32">
        <f t="shared" si="0"/>
        <v>-2.2360111447444044</v>
      </c>
      <c r="P63" s="32">
        <f t="shared" si="1"/>
        <v>-0.35066830567853796</v>
      </c>
      <c r="Q63" s="32">
        <f t="shared" si="2"/>
        <v>1.5230663966281681</v>
      </c>
      <c r="R63" s="32">
        <f t="shared" si="3"/>
        <v>0.42072566891033153</v>
      </c>
    </row>
    <row r="64" spans="1:18">
      <c r="A64">
        <v>19840</v>
      </c>
      <c r="B64" t="s">
        <v>14</v>
      </c>
      <c r="C64" s="32" t="s">
        <v>32</v>
      </c>
      <c r="D64" t="s">
        <v>9</v>
      </c>
      <c r="E64">
        <v>2010</v>
      </c>
      <c r="F64">
        <v>3</v>
      </c>
      <c r="G64">
        <v>2559.64</v>
      </c>
      <c r="H64">
        <v>20629.599999999999</v>
      </c>
      <c r="I64">
        <v>18260</v>
      </c>
      <c r="J64" s="28">
        <v>0</v>
      </c>
      <c r="K64" s="28">
        <v>714</v>
      </c>
      <c r="L64">
        <v>36530.94</v>
      </c>
      <c r="M64">
        <v>0.11074340000000001</v>
      </c>
      <c r="N64">
        <v>0.70421730000000005</v>
      </c>
      <c r="O64" s="32">
        <f t="shared" si="0"/>
        <v>-2.200539465512124</v>
      </c>
      <c r="P64" s="32">
        <f t="shared" si="1"/>
        <v>-0.35066830567853796</v>
      </c>
      <c r="Q64" s="32">
        <f t="shared" si="2"/>
        <v>1.1297699890470974</v>
      </c>
      <c r="R64" s="32">
        <f t="shared" si="3"/>
        <v>0.12201406248939184</v>
      </c>
    </row>
    <row r="65" spans="1:18">
      <c r="A65">
        <v>19840</v>
      </c>
      <c r="B65" t="s">
        <v>14</v>
      </c>
      <c r="C65" s="32" t="s">
        <v>32</v>
      </c>
      <c r="D65" t="s">
        <v>9</v>
      </c>
      <c r="E65">
        <v>2010</v>
      </c>
      <c r="F65">
        <v>4</v>
      </c>
      <c r="G65">
        <v>2291.29</v>
      </c>
      <c r="H65">
        <v>18190.5</v>
      </c>
      <c r="I65">
        <v>18279</v>
      </c>
      <c r="J65" s="28">
        <v>0</v>
      </c>
      <c r="K65" s="28">
        <v>555</v>
      </c>
      <c r="L65">
        <v>36530.94</v>
      </c>
      <c r="M65">
        <v>0.1124256</v>
      </c>
      <c r="N65">
        <v>0.70421730000000005</v>
      </c>
      <c r="O65" s="32">
        <f t="shared" si="0"/>
        <v>-2.1854636094483464</v>
      </c>
      <c r="P65" s="32">
        <f t="shared" si="1"/>
        <v>-0.35066830567853796</v>
      </c>
      <c r="Q65" s="32">
        <f t="shared" si="2"/>
        <v>0.99515837846709343</v>
      </c>
      <c r="R65" s="32">
        <f t="shared" si="3"/>
        <v>-4.8533801516478349E-3</v>
      </c>
    </row>
    <row r="66" spans="1:18">
      <c r="A66">
        <v>19840</v>
      </c>
      <c r="B66" t="s">
        <v>14</v>
      </c>
      <c r="C66" s="32" t="s">
        <v>32</v>
      </c>
      <c r="D66" t="s">
        <v>9</v>
      </c>
      <c r="E66">
        <v>2010</v>
      </c>
      <c r="F66">
        <v>5</v>
      </c>
      <c r="G66">
        <v>1962.62</v>
      </c>
      <c r="H66">
        <v>15213.4</v>
      </c>
      <c r="I66">
        <v>18261</v>
      </c>
      <c r="J66" s="28">
        <v>2</v>
      </c>
      <c r="K66" s="28">
        <v>390</v>
      </c>
      <c r="L66">
        <v>36530.94</v>
      </c>
      <c r="M66">
        <v>0.1151436</v>
      </c>
      <c r="N66">
        <v>0.70421730000000005</v>
      </c>
      <c r="O66" s="32">
        <f t="shared" si="0"/>
        <v>-2.1615752339387306</v>
      </c>
      <c r="P66" s="32">
        <f t="shared" si="1"/>
        <v>-0.35066830567853796</v>
      </c>
      <c r="Q66" s="32">
        <f t="shared" si="2"/>
        <v>0.83310881112753954</v>
      </c>
      <c r="R66" s="32">
        <f t="shared" si="3"/>
        <v>-0.18259101974278683</v>
      </c>
    </row>
    <row r="67" spans="1:18">
      <c r="A67">
        <v>19840</v>
      </c>
      <c r="B67" t="s">
        <v>14</v>
      </c>
      <c r="C67" s="32" t="s">
        <v>32</v>
      </c>
      <c r="D67" t="s">
        <v>9</v>
      </c>
      <c r="E67">
        <v>2010</v>
      </c>
      <c r="F67">
        <v>6</v>
      </c>
      <c r="G67">
        <v>2397.8000000000002</v>
      </c>
      <c r="H67">
        <v>19150.8</v>
      </c>
      <c r="I67">
        <v>18263</v>
      </c>
      <c r="J67" s="28">
        <v>159</v>
      </c>
      <c r="K67" s="28">
        <v>35</v>
      </c>
      <c r="L67">
        <v>36530.94</v>
      </c>
      <c r="M67">
        <v>0.11175209999999999</v>
      </c>
      <c r="N67">
        <v>0.70421730000000005</v>
      </c>
      <c r="O67" s="32">
        <f t="shared" ref="O67:O85" si="4">LN(M67)</f>
        <v>-2.1914722537187168</v>
      </c>
      <c r="P67" s="32">
        <f t="shared" ref="P67:P85" si="5">LN(N67)</f>
        <v>-0.35066830567853796</v>
      </c>
      <c r="Q67" s="32">
        <f t="shared" ref="Q67:Q85" si="6">H67/I67</f>
        <v>1.0486119476537261</v>
      </c>
      <c r="R67" s="32">
        <f t="shared" ref="R67:R85" si="7">LN(Q67)</f>
        <v>4.746733500109928E-2</v>
      </c>
    </row>
    <row r="68" spans="1:18">
      <c r="A68">
        <v>19840</v>
      </c>
      <c r="B68" t="s">
        <v>14</v>
      </c>
      <c r="C68" s="32" t="s">
        <v>32</v>
      </c>
      <c r="D68" t="s">
        <v>9</v>
      </c>
      <c r="E68">
        <v>2010</v>
      </c>
      <c r="F68">
        <v>7</v>
      </c>
      <c r="G68">
        <v>3224.47</v>
      </c>
      <c r="H68">
        <v>26678.6</v>
      </c>
      <c r="I68">
        <v>18239</v>
      </c>
      <c r="J68" s="28">
        <v>329</v>
      </c>
      <c r="K68" s="28">
        <v>0</v>
      </c>
      <c r="L68">
        <v>36530.94</v>
      </c>
      <c r="M68">
        <v>0.107876</v>
      </c>
      <c r="N68">
        <v>0.70421730000000005</v>
      </c>
      <c r="O68" s="32">
        <f t="shared" si="4"/>
        <v>-2.2267728596330985</v>
      </c>
      <c r="P68" s="32">
        <f t="shared" si="5"/>
        <v>-0.35066830567853796</v>
      </c>
      <c r="Q68" s="32">
        <f t="shared" si="6"/>
        <v>1.4627227369921596</v>
      </c>
      <c r="R68" s="32">
        <f t="shared" si="7"/>
        <v>0.38029958732564778</v>
      </c>
    </row>
    <row r="69" spans="1:18">
      <c r="A69">
        <v>19840</v>
      </c>
      <c r="B69" t="s">
        <v>14</v>
      </c>
      <c r="C69" s="32" t="s">
        <v>32</v>
      </c>
      <c r="D69" t="s">
        <v>9</v>
      </c>
      <c r="E69">
        <v>2010</v>
      </c>
      <c r="F69">
        <v>8</v>
      </c>
      <c r="G69">
        <v>3711.63</v>
      </c>
      <c r="H69">
        <v>31105.7</v>
      </c>
      <c r="I69">
        <v>18244</v>
      </c>
      <c r="J69" s="28">
        <v>204</v>
      </c>
      <c r="K69" s="28">
        <v>19</v>
      </c>
      <c r="L69">
        <v>36530.94</v>
      </c>
      <c r="M69">
        <v>0.1065012</v>
      </c>
      <c r="N69">
        <v>0.70421730000000005</v>
      </c>
      <c r="O69" s="32">
        <f t="shared" si="4"/>
        <v>-2.2395990262905023</v>
      </c>
      <c r="P69" s="32">
        <f t="shared" si="5"/>
        <v>-0.35066830567853796</v>
      </c>
      <c r="Q69" s="32">
        <f t="shared" si="6"/>
        <v>1.7049824599868451</v>
      </c>
      <c r="R69" s="32">
        <f t="shared" si="7"/>
        <v>0.53355482328481962</v>
      </c>
    </row>
    <row r="70" spans="1:18">
      <c r="A70">
        <v>19840</v>
      </c>
      <c r="B70" t="s">
        <v>14</v>
      </c>
      <c r="C70" s="32" t="s">
        <v>32</v>
      </c>
      <c r="D70" t="s">
        <v>9</v>
      </c>
      <c r="E70">
        <v>2010</v>
      </c>
      <c r="F70">
        <v>9</v>
      </c>
      <c r="G70">
        <v>2991.44</v>
      </c>
      <c r="H70">
        <v>24554.9</v>
      </c>
      <c r="I70">
        <v>18206</v>
      </c>
      <c r="J70" s="28">
        <v>36</v>
      </c>
      <c r="K70" s="28">
        <v>67</v>
      </c>
      <c r="L70">
        <v>36530.94</v>
      </c>
      <c r="M70">
        <v>0.1087356</v>
      </c>
      <c r="N70">
        <v>0.70421730000000005</v>
      </c>
      <c r="O70" s="32">
        <f t="shared" si="4"/>
        <v>-2.2188360315739271</v>
      </c>
      <c r="P70" s="32">
        <f t="shared" si="5"/>
        <v>-0.35066830567853796</v>
      </c>
      <c r="Q70" s="32">
        <f t="shared" si="6"/>
        <v>1.3487256948258817</v>
      </c>
      <c r="R70" s="32">
        <f t="shared" si="7"/>
        <v>0.29916021690949052</v>
      </c>
    </row>
    <row r="71" spans="1:18">
      <c r="A71">
        <v>19840</v>
      </c>
      <c r="B71" t="s">
        <v>14</v>
      </c>
      <c r="C71" s="32" t="s">
        <v>32</v>
      </c>
      <c r="D71" t="s">
        <v>9</v>
      </c>
      <c r="E71">
        <v>2010</v>
      </c>
      <c r="F71">
        <v>10</v>
      </c>
      <c r="G71">
        <v>2278.36</v>
      </c>
      <c r="H71">
        <v>18179.7</v>
      </c>
      <c r="I71">
        <v>18182</v>
      </c>
      <c r="J71" s="28">
        <v>10</v>
      </c>
      <c r="K71" s="28">
        <v>363</v>
      </c>
      <c r="L71">
        <v>36530.94</v>
      </c>
      <c r="M71">
        <v>0.1118576</v>
      </c>
      <c r="N71">
        <v>0.70421730000000005</v>
      </c>
      <c r="O71" s="32">
        <f t="shared" si="4"/>
        <v>-2.1905286452095321</v>
      </c>
      <c r="P71" s="32">
        <f t="shared" si="5"/>
        <v>-0.35066830567853796</v>
      </c>
      <c r="Q71" s="32">
        <f t="shared" si="6"/>
        <v>0.99987350126498742</v>
      </c>
      <c r="R71" s="32">
        <f t="shared" si="7"/>
        <v>-1.2650673665236646E-4</v>
      </c>
    </row>
    <row r="72" spans="1:18">
      <c r="A72">
        <v>19840</v>
      </c>
      <c r="B72" t="s">
        <v>14</v>
      </c>
      <c r="C72" s="32" t="s">
        <v>32</v>
      </c>
      <c r="D72" t="s">
        <v>9</v>
      </c>
      <c r="E72">
        <v>2010</v>
      </c>
      <c r="F72">
        <v>11</v>
      </c>
      <c r="G72">
        <v>2191.4499999999998</v>
      </c>
      <c r="H72">
        <v>17306.900000000001</v>
      </c>
      <c r="I72">
        <v>18163</v>
      </c>
      <c r="J72" s="28">
        <v>0</v>
      </c>
      <c r="K72" s="28">
        <v>760</v>
      </c>
      <c r="L72">
        <v>36530.94</v>
      </c>
      <c r="M72">
        <v>0.11301650000000001</v>
      </c>
      <c r="N72">
        <v>0.70421730000000005</v>
      </c>
      <c r="O72" s="32">
        <f t="shared" si="4"/>
        <v>-2.180221453230228</v>
      </c>
      <c r="P72" s="32">
        <f t="shared" si="5"/>
        <v>-0.35066830567853796</v>
      </c>
      <c r="Q72" s="32">
        <f t="shared" si="6"/>
        <v>0.95286571601607672</v>
      </c>
      <c r="R72" s="32">
        <f t="shared" si="7"/>
        <v>-4.828129185003513E-2</v>
      </c>
    </row>
    <row r="73" spans="1:18">
      <c r="A73">
        <v>19840</v>
      </c>
      <c r="B73" t="s">
        <v>14</v>
      </c>
      <c r="C73" s="32" t="s">
        <v>32</v>
      </c>
      <c r="D73" t="s">
        <v>9</v>
      </c>
      <c r="E73">
        <v>2010</v>
      </c>
      <c r="F73">
        <v>12</v>
      </c>
      <c r="G73">
        <v>3047.89</v>
      </c>
      <c r="H73">
        <v>25104.2</v>
      </c>
      <c r="I73">
        <v>18190</v>
      </c>
      <c r="J73" s="28">
        <v>0</v>
      </c>
      <c r="K73" s="28">
        <v>897</v>
      </c>
      <c r="L73">
        <v>36530.94</v>
      </c>
      <c r="M73">
        <v>0.1083634</v>
      </c>
      <c r="N73">
        <v>0.70421730000000005</v>
      </c>
      <c r="O73" s="32">
        <f t="shared" si="4"/>
        <v>-2.2222648853656453</v>
      </c>
      <c r="P73" s="32">
        <f t="shared" si="5"/>
        <v>-0.35066830567853796</v>
      </c>
      <c r="Q73" s="32">
        <f t="shared" si="6"/>
        <v>1.3801099505222649</v>
      </c>
      <c r="R73" s="32">
        <f t="shared" si="7"/>
        <v>0.32216317028678187</v>
      </c>
    </row>
    <row r="74" spans="1:18">
      <c r="A74">
        <v>20332</v>
      </c>
      <c r="B74" t="s">
        <v>15</v>
      </c>
      <c r="C74" s="32" t="s">
        <v>33</v>
      </c>
      <c r="D74" t="s">
        <v>9</v>
      </c>
      <c r="E74">
        <v>2010</v>
      </c>
      <c r="F74">
        <v>1</v>
      </c>
      <c r="G74">
        <v>654</v>
      </c>
      <c r="H74">
        <v>7439</v>
      </c>
      <c r="I74">
        <v>4213</v>
      </c>
      <c r="J74" s="32">
        <v>0</v>
      </c>
      <c r="K74" s="32">
        <v>1175</v>
      </c>
      <c r="L74">
        <v>52116.576000000001</v>
      </c>
      <c r="M74">
        <v>7.8468099999999999E-2</v>
      </c>
      <c r="N74">
        <v>0.96930300000000003</v>
      </c>
      <c r="O74" s="32">
        <f t="shared" si="4"/>
        <v>-2.5450631062109568</v>
      </c>
      <c r="P74" s="32">
        <f t="shared" si="5"/>
        <v>-3.1178022471341722E-2</v>
      </c>
      <c r="Q74" s="32">
        <f t="shared" si="6"/>
        <v>1.7657251364823165</v>
      </c>
      <c r="R74" s="32">
        <f t="shared" si="7"/>
        <v>0.56856144821232479</v>
      </c>
    </row>
    <row r="75" spans="1:18">
      <c r="A75">
        <v>20332</v>
      </c>
      <c r="B75" t="s">
        <v>15</v>
      </c>
      <c r="C75" s="32" t="s">
        <v>33</v>
      </c>
      <c r="D75" t="s">
        <v>9</v>
      </c>
      <c r="E75">
        <v>2010</v>
      </c>
      <c r="F75">
        <v>2</v>
      </c>
      <c r="G75">
        <v>517</v>
      </c>
      <c r="H75">
        <v>6028</v>
      </c>
      <c r="I75">
        <v>4200</v>
      </c>
      <c r="J75" s="32">
        <v>0</v>
      </c>
      <c r="K75" s="32">
        <v>999</v>
      </c>
      <c r="L75">
        <v>52116.576000000001</v>
      </c>
      <c r="M75">
        <v>7.6550300000000002E-2</v>
      </c>
      <c r="N75">
        <v>0.96930300000000003</v>
      </c>
      <c r="O75" s="32">
        <f t="shared" si="4"/>
        <v>-2.5698072378789387</v>
      </c>
      <c r="P75" s="32">
        <f t="shared" si="5"/>
        <v>-3.1178022471341722E-2</v>
      </c>
      <c r="Q75" s="32">
        <f t="shared" si="6"/>
        <v>1.4352380952380952</v>
      </c>
      <c r="R75" s="32">
        <f t="shared" si="7"/>
        <v>0.36133075547492638</v>
      </c>
    </row>
    <row r="76" spans="1:18">
      <c r="A76">
        <v>20332</v>
      </c>
      <c r="B76" t="s">
        <v>15</v>
      </c>
      <c r="C76" s="32" t="s">
        <v>33</v>
      </c>
      <c r="D76" t="s">
        <v>9</v>
      </c>
      <c r="E76">
        <v>2010</v>
      </c>
      <c r="F76">
        <v>3</v>
      </c>
      <c r="G76">
        <v>445</v>
      </c>
      <c r="H76">
        <v>5077</v>
      </c>
      <c r="I76">
        <v>4207</v>
      </c>
      <c r="J76" s="32">
        <v>0</v>
      </c>
      <c r="K76" s="32">
        <v>998</v>
      </c>
      <c r="L76">
        <v>52116.576000000001</v>
      </c>
      <c r="M76">
        <v>7.8231700000000001E-2</v>
      </c>
      <c r="N76">
        <v>0.96930300000000003</v>
      </c>
      <c r="O76" s="32">
        <f t="shared" si="4"/>
        <v>-2.5480803427274448</v>
      </c>
      <c r="P76" s="32">
        <f t="shared" si="5"/>
        <v>-3.1178022471341722E-2</v>
      </c>
      <c r="Q76" s="32">
        <f t="shared" si="6"/>
        <v>1.2067981934870453</v>
      </c>
      <c r="R76" s="32">
        <f t="shared" si="7"/>
        <v>0.18797073135687337</v>
      </c>
    </row>
    <row r="77" spans="1:18">
      <c r="A77">
        <v>20332</v>
      </c>
      <c r="B77" t="s">
        <v>15</v>
      </c>
      <c r="C77" s="32" t="s">
        <v>33</v>
      </c>
      <c r="D77" t="s">
        <v>9</v>
      </c>
      <c r="E77">
        <v>2010</v>
      </c>
      <c r="F77">
        <v>4</v>
      </c>
      <c r="G77">
        <v>411</v>
      </c>
      <c r="H77">
        <v>4614</v>
      </c>
      <c r="I77">
        <v>4192</v>
      </c>
      <c r="J77" s="32">
        <v>0</v>
      </c>
      <c r="K77" s="32">
        <v>800</v>
      </c>
      <c r="L77">
        <v>52116.576000000001</v>
      </c>
      <c r="M77">
        <v>7.9504900000000003E-2</v>
      </c>
      <c r="N77">
        <v>0.96930300000000003</v>
      </c>
      <c r="O77" s="32">
        <f t="shared" si="4"/>
        <v>-2.531936624001097</v>
      </c>
      <c r="P77" s="32">
        <f t="shared" si="5"/>
        <v>-3.1178022471341722E-2</v>
      </c>
      <c r="Q77" s="32">
        <f t="shared" si="6"/>
        <v>1.1006679389312977</v>
      </c>
      <c r="R77" s="32">
        <f t="shared" si="7"/>
        <v>9.5917212732820847E-2</v>
      </c>
    </row>
    <row r="78" spans="1:18">
      <c r="A78">
        <v>20332</v>
      </c>
      <c r="B78" t="s">
        <v>15</v>
      </c>
      <c r="C78" s="32" t="s">
        <v>33</v>
      </c>
      <c r="D78" t="s">
        <v>9</v>
      </c>
      <c r="E78">
        <v>2010</v>
      </c>
      <c r="F78">
        <v>5</v>
      </c>
      <c r="G78">
        <v>334</v>
      </c>
      <c r="H78">
        <v>3590</v>
      </c>
      <c r="I78">
        <v>4200</v>
      </c>
      <c r="J78" s="32">
        <v>0</v>
      </c>
      <c r="K78" s="32">
        <v>682</v>
      </c>
      <c r="L78">
        <v>52116.576000000001</v>
      </c>
      <c r="M78">
        <v>8.3038899999999999E-2</v>
      </c>
      <c r="N78">
        <v>0.96930300000000003</v>
      </c>
      <c r="O78" s="32">
        <f t="shared" si="4"/>
        <v>-2.4884461062804268</v>
      </c>
      <c r="P78" s="32">
        <f t="shared" si="5"/>
        <v>-3.1178022471341722E-2</v>
      </c>
      <c r="Q78" s="32">
        <f t="shared" si="6"/>
        <v>0.85476190476190472</v>
      </c>
      <c r="R78" s="32">
        <f t="shared" si="7"/>
        <v>-0.15693232278913516</v>
      </c>
    </row>
    <row r="79" spans="1:18">
      <c r="A79">
        <v>20332</v>
      </c>
      <c r="B79" t="s">
        <v>15</v>
      </c>
      <c r="C79" s="32" t="s">
        <v>33</v>
      </c>
      <c r="D79" t="s">
        <v>9</v>
      </c>
      <c r="E79">
        <v>2010</v>
      </c>
      <c r="F79">
        <v>6</v>
      </c>
      <c r="G79">
        <v>299</v>
      </c>
      <c r="H79">
        <v>3093</v>
      </c>
      <c r="I79">
        <v>4213</v>
      </c>
      <c r="J79" s="32">
        <v>25</v>
      </c>
      <c r="K79" s="32">
        <v>195</v>
      </c>
      <c r="L79">
        <v>52116.576000000001</v>
      </c>
      <c r="M79">
        <v>8.6282200000000003E-2</v>
      </c>
      <c r="N79">
        <v>0.96930300000000003</v>
      </c>
      <c r="O79" s="32">
        <f t="shared" si="4"/>
        <v>-2.4501319594088833</v>
      </c>
      <c r="P79" s="32">
        <f t="shared" si="5"/>
        <v>-3.1178022471341722E-2</v>
      </c>
      <c r="Q79" s="32">
        <f t="shared" si="6"/>
        <v>0.73415618324234511</v>
      </c>
      <c r="R79" s="32">
        <f t="shared" si="7"/>
        <v>-0.30903348929394692</v>
      </c>
    </row>
    <row r="80" spans="1:18">
      <c r="A80">
        <v>20332</v>
      </c>
      <c r="B80" t="s">
        <v>15</v>
      </c>
      <c r="C80" s="32" t="s">
        <v>33</v>
      </c>
      <c r="D80" t="s">
        <v>9</v>
      </c>
      <c r="E80">
        <v>2010</v>
      </c>
      <c r="F80">
        <v>7</v>
      </c>
      <c r="G80">
        <v>276</v>
      </c>
      <c r="H80">
        <v>2776</v>
      </c>
      <c r="I80">
        <v>4226</v>
      </c>
      <c r="J80" s="32">
        <v>155</v>
      </c>
      <c r="K80" s="32">
        <v>22</v>
      </c>
      <c r="L80">
        <v>52116.576000000001</v>
      </c>
      <c r="M80">
        <v>8.8739999999999999E-2</v>
      </c>
      <c r="N80">
        <v>0.96930300000000003</v>
      </c>
      <c r="O80" s="32">
        <f t="shared" si="4"/>
        <v>-2.4220445330313738</v>
      </c>
      <c r="P80" s="32">
        <f t="shared" si="5"/>
        <v>-3.1178022471341722E-2</v>
      </c>
      <c r="Q80" s="32">
        <f t="shared" si="6"/>
        <v>0.6568859441552295</v>
      </c>
      <c r="R80" s="32">
        <f t="shared" si="7"/>
        <v>-0.42024487654930692</v>
      </c>
    </row>
    <row r="81" spans="1:18">
      <c r="A81">
        <v>20332</v>
      </c>
      <c r="B81" t="s">
        <v>15</v>
      </c>
      <c r="C81" s="32" t="s">
        <v>33</v>
      </c>
      <c r="D81" t="s">
        <v>9</v>
      </c>
      <c r="E81">
        <v>2010</v>
      </c>
      <c r="F81">
        <v>8</v>
      </c>
      <c r="G81">
        <v>325</v>
      </c>
      <c r="H81">
        <v>3400</v>
      </c>
      <c r="I81">
        <v>4248</v>
      </c>
      <c r="J81" s="32">
        <v>126</v>
      </c>
      <c r="K81" s="32">
        <v>48</v>
      </c>
      <c r="L81">
        <v>52116.576000000001</v>
      </c>
      <c r="M81">
        <v>8.5316699999999995E-2</v>
      </c>
      <c r="N81">
        <v>0.96930300000000003</v>
      </c>
      <c r="O81" s="32">
        <f t="shared" si="4"/>
        <v>-2.4613850640454222</v>
      </c>
      <c r="P81" s="32">
        <f t="shared" si="5"/>
        <v>-3.1178022471341722E-2</v>
      </c>
      <c r="Q81" s="32">
        <f t="shared" si="6"/>
        <v>0.80037664783427498</v>
      </c>
      <c r="R81" s="32">
        <f t="shared" si="7"/>
        <v>-0.22267285231752196</v>
      </c>
    </row>
    <row r="82" spans="1:18">
      <c r="A82">
        <v>20332</v>
      </c>
      <c r="B82" t="s">
        <v>15</v>
      </c>
      <c r="C82" s="32" t="s">
        <v>33</v>
      </c>
      <c r="D82" t="s">
        <v>9</v>
      </c>
      <c r="E82">
        <v>2010</v>
      </c>
      <c r="F82">
        <v>9</v>
      </c>
      <c r="G82">
        <v>283</v>
      </c>
      <c r="H82">
        <v>2848</v>
      </c>
      <c r="I82">
        <v>4252</v>
      </c>
      <c r="J82" s="32">
        <v>23</v>
      </c>
      <c r="K82" s="32">
        <v>146</v>
      </c>
      <c r="L82">
        <v>52116.576000000001</v>
      </c>
      <c r="M82">
        <v>8.86903E-2</v>
      </c>
      <c r="N82">
        <v>0.96930300000000003</v>
      </c>
      <c r="O82" s="32">
        <f t="shared" si="4"/>
        <v>-2.422604753031</v>
      </c>
      <c r="P82" s="32">
        <f t="shared" si="5"/>
        <v>-3.1178022471341722E-2</v>
      </c>
      <c r="Q82" s="32">
        <f t="shared" si="6"/>
        <v>0.66980244590780813</v>
      </c>
      <c r="R82" s="32">
        <f t="shared" si="7"/>
        <v>-0.40077246692997209</v>
      </c>
    </row>
    <row r="83" spans="1:18">
      <c r="A83">
        <v>20332</v>
      </c>
      <c r="B83" t="s">
        <v>15</v>
      </c>
      <c r="C83" s="32" t="s">
        <v>33</v>
      </c>
      <c r="D83" t="s">
        <v>9</v>
      </c>
      <c r="E83">
        <v>2010</v>
      </c>
      <c r="F83">
        <v>10</v>
      </c>
      <c r="G83">
        <v>309</v>
      </c>
      <c r="H83">
        <v>3173</v>
      </c>
      <c r="I83">
        <v>4259</v>
      </c>
      <c r="J83" s="32">
        <v>8</v>
      </c>
      <c r="K83" s="32">
        <v>488</v>
      </c>
      <c r="L83">
        <v>52116.576000000001</v>
      </c>
      <c r="M83">
        <v>8.6919700000000003E-2</v>
      </c>
      <c r="N83">
        <v>0.96930300000000003</v>
      </c>
      <c r="O83" s="32">
        <f t="shared" si="4"/>
        <v>-2.4427705750494733</v>
      </c>
      <c r="P83" s="32">
        <f t="shared" si="5"/>
        <v>-3.1178022471341722E-2</v>
      </c>
      <c r="Q83" s="32">
        <f t="shared" si="6"/>
        <v>0.7450105658605306</v>
      </c>
      <c r="R83" s="32">
        <f t="shared" si="7"/>
        <v>-0.29435687834001795</v>
      </c>
    </row>
    <row r="84" spans="1:18">
      <c r="A84">
        <v>20332</v>
      </c>
      <c r="B84" t="s">
        <v>15</v>
      </c>
      <c r="C84" s="32" t="s">
        <v>33</v>
      </c>
      <c r="D84" t="s">
        <v>9</v>
      </c>
      <c r="E84">
        <v>2010</v>
      </c>
      <c r="F84">
        <v>11</v>
      </c>
      <c r="G84">
        <v>384</v>
      </c>
      <c r="H84">
        <v>4159</v>
      </c>
      <c r="I84">
        <v>4266</v>
      </c>
      <c r="J84" s="32">
        <v>0</v>
      </c>
      <c r="K84" s="32">
        <v>989</v>
      </c>
      <c r="L84">
        <v>52116.576000000001</v>
      </c>
      <c r="M84">
        <v>8.2408499999999996E-2</v>
      </c>
      <c r="N84">
        <v>0.96930300000000003</v>
      </c>
      <c r="O84" s="32">
        <f t="shared" si="4"/>
        <v>-2.4960666920470516</v>
      </c>
      <c r="P84" s="32">
        <f t="shared" si="5"/>
        <v>-3.1178022471341722E-2</v>
      </c>
      <c r="Q84" s="32">
        <f t="shared" si="6"/>
        <v>0.97491795593061414</v>
      </c>
      <c r="R84" s="32">
        <f t="shared" si="7"/>
        <v>-2.5401959288384221E-2</v>
      </c>
    </row>
    <row r="85" spans="1:18">
      <c r="A85">
        <v>20332</v>
      </c>
      <c r="B85" t="s">
        <v>15</v>
      </c>
      <c r="C85" s="32" t="s">
        <v>33</v>
      </c>
      <c r="D85" t="s">
        <v>9</v>
      </c>
      <c r="E85">
        <v>2010</v>
      </c>
      <c r="F85">
        <v>12</v>
      </c>
      <c r="G85">
        <v>529</v>
      </c>
      <c r="H85">
        <v>6061</v>
      </c>
      <c r="I85">
        <v>4261</v>
      </c>
      <c r="J85" s="32">
        <v>0</v>
      </c>
      <c r="K85" s="32">
        <v>1026</v>
      </c>
      <c r="L85">
        <v>52116.576000000001</v>
      </c>
      <c r="M85">
        <v>7.7900700000000003E-2</v>
      </c>
      <c r="N85">
        <v>0.96930300000000003</v>
      </c>
      <c r="O85" s="32">
        <f t="shared" si="4"/>
        <v>-2.5523203402664749</v>
      </c>
      <c r="P85" s="32">
        <f t="shared" si="5"/>
        <v>-3.1178022471341722E-2</v>
      </c>
      <c r="Q85" s="32">
        <f t="shared" si="6"/>
        <v>1.4224360478760854</v>
      </c>
      <c r="R85" s="32">
        <f t="shared" si="7"/>
        <v>0.35237092845137297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opLeftCell="C1" workbookViewId="0">
      <selection activeCell="C1" sqref="A1:XFD1048576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2005td</vt:lpstr>
      <vt:lpstr>2006td</vt:lpstr>
      <vt:lpstr>2007td</vt:lpstr>
      <vt:lpstr>2008</vt:lpstr>
      <vt:lpstr>2009</vt:lpstr>
      <vt:lpstr>2010</vt:lpstr>
      <vt:lpstr>Sheet2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Irvin Puett</dc:creator>
  <cp:lastModifiedBy>Marlon Irvin Puett</cp:lastModifiedBy>
  <dcterms:created xsi:type="dcterms:W3CDTF">2012-08-16T14:46:14Z</dcterms:created>
  <dcterms:modified xsi:type="dcterms:W3CDTF">2012-09-25T02:36:22Z</dcterms:modified>
</cp:coreProperties>
</file>